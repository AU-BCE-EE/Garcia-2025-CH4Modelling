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4" i="1" l="1"/>
  <c r="E14" i="1"/>
  <c r="F13" i="1"/>
  <c r="E13" i="1"/>
  <c r="F12" i="1"/>
  <c r="E12" i="1"/>
  <c r="F4" i="1"/>
  <c r="F6" i="1"/>
  <c r="F7" i="1"/>
  <c r="F8" i="1"/>
  <c r="F9" i="1"/>
  <c r="F10" i="1"/>
  <c r="F11" i="1"/>
  <c r="F26" i="1"/>
  <c r="F29" i="1"/>
  <c r="F32" i="1"/>
  <c r="F2" i="1"/>
  <c r="E32" i="1"/>
  <c r="E6" i="1"/>
  <c r="E4" i="1"/>
  <c r="E7" i="1"/>
  <c r="E8" i="1"/>
  <c r="E9" i="1"/>
  <c r="E10" i="1"/>
  <c r="E11" i="1"/>
  <c r="E26" i="1"/>
  <c r="E29" i="1"/>
  <c r="E2" i="1"/>
</calcChain>
</file>

<file path=xl/sharedStrings.xml><?xml version="1.0" encoding="utf-8"?>
<sst xmlns="http://schemas.openxmlformats.org/spreadsheetml/2006/main" count="40" uniqueCount="40">
  <si>
    <t>Date</t>
  </si>
  <si>
    <t>Sample</t>
  </si>
  <si>
    <t>Number</t>
  </si>
  <si>
    <t>BMP_Gompertz</t>
  </si>
  <si>
    <t>Section</t>
  </si>
  <si>
    <t>28 1</t>
  </si>
  <si>
    <t>28 2</t>
  </si>
  <si>
    <t>28 3</t>
  </si>
  <si>
    <t>29 1</t>
  </si>
  <si>
    <t>29 2</t>
  </si>
  <si>
    <t>29 3</t>
  </si>
  <si>
    <t>30 1</t>
  </si>
  <si>
    <t>30 2</t>
  </si>
  <si>
    <t>30 3</t>
  </si>
  <si>
    <t>31 1</t>
  </si>
  <si>
    <t>31 2</t>
  </si>
  <si>
    <t>31 3</t>
  </si>
  <si>
    <t>32 1</t>
  </si>
  <si>
    <t>32 2</t>
  </si>
  <si>
    <t>32 3</t>
  </si>
  <si>
    <t>33 1</t>
  </si>
  <si>
    <t>33 2</t>
  </si>
  <si>
    <t>33 3</t>
  </si>
  <si>
    <t>34 1</t>
  </si>
  <si>
    <t>34 2</t>
  </si>
  <si>
    <t>34 3</t>
  </si>
  <si>
    <t>35 1</t>
  </si>
  <si>
    <t>35 2</t>
  </si>
  <si>
    <t>35 3</t>
  </si>
  <si>
    <t>36 1</t>
  </si>
  <si>
    <t>36 2</t>
  </si>
  <si>
    <t>36 3</t>
  </si>
  <si>
    <t>37 1</t>
  </si>
  <si>
    <t>37 2</t>
  </si>
  <si>
    <t>37 3</t>
  </si>
  <si>
    <t>38 1</t>
  </si>
  <si>
    <t>38 2</t>
  </si>
  <si>
    <t>38 3</t>
  </si>
  <si>
    <t>Mean_BMP</t>
  </si>
  <si>
    <t>sd_BMP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</si>
</sst>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2" borderId="0" xfId="0" applyNumberFormat="1" applyFill="1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abSelected="1" workbookViewId="0">
      <selection activeCell="D1" sqref="D1:D1048576"/>
    </sheetView>
  </sheetViews>
  <sheetFormatPr defaultRowHeight="14.5" x14ac:dyDescent="0.35"/>
  <cols>
    <col min="3" max="3" width="14" bestFit="1" customWidth="1"/>
    <col min="4" max="4" width="10.08984375" bestFit="1" customWidth="1"/>
    <col min="5" max="5" width="10.453125" bestFit="1" customWidth="1"/>
  </cols>
  <sheetData>
    <row r="1" spans="1:7" x14ac:dyDescent="0.35">
      <c r="A1" t="s">
        <v>1</v>
      </c>
      <c r="B1" t="s">
        <v>2</v>
      </c>
      <c r="C1" t="s">
        <v>3</v>
      </c>
      <c r="D1" t="s">
        <v>0</v>
      </c>
      <c r="E1" t="s">
        <v>38</v>
      </c>
      <c r="F1" t="s">
        <v>39</v>
      </c>
      <c r="G1" t="s">
        <v>4</v>
      </c>
    </row>
    <row r="2" spans="1:7" x14ac:dyDescent="0.35">
      <c r="A2" t="s">
        <v>5</v>
      </c>
      <c r="B2">
        <v>15</v>
      </c>
      <c r="C2" s="1">
        <v>439.96668815215827</v>
      </c>
      <c r="D2" s="2">
        <v>44690</v>
      </c>
      <c r="E2" s="3">
        <f>+AVERAGE(C2:C4)</f>
        <v>415.10359012893196</v>
      </c>
      <c r="F2">
        <f>+_xlfn.STDEV.S(C2:C4)</f>
        <v>22.465967155335285</v>
      </c>
      <c r="G2">
        <v>5</v>
      </c>
    </row>
    <row r="3" spans="1:7" x14ac:dyDescent="0.35">
      <c r="A3" t="s">
        <v>6</v>
      </c>
      <c r="B3">
        <v>15</v>
      </c>
      <c r="C3" s="1">
        <v>396.2619359902414</v>
      </c>
      <c r="D3" s="2">
        <v>44767</v>
      </c>
      <c r="E3" s="3">
        <v>415.10359012893196</v>
      </c>
      <c r="F3">
        <v>22.465967155335285</v>
      </c>
      <c r="G3">
        <v>5</v>
      </c>
    </row>
    <row r="4" spans="1:7" x14ac:dyDescent="0.35">
      <c r="A4" t="s">
        <v>7</v>
      </c>
      <c r="B4">
        <v>15</v>
      </c>
      <c r="C4" s="1">
        <v>409.08214624439626</v>
      </c>
      <c r="D4" s="2">
        <v>44686</v>
      </c>
      <c r="E4" s="3">
        <f>+AVERAGE(C5:C7)</f>
        <v>403.79225208066578</v>
      </c>
      <c r="F4">
        <f>+_xlfn.STDEV.S(C5:C7)</f>
        <v>6.6643171488228816</v>
      </c>
      <c r="G4">
        <v>6</v>
      </c>
    </row>
    <row r="5" spans="1:7" x14ac:dyDescent="0.35">
      <c r="A5" t="s">
        <v>8</v>
      </c>
      <c r="B5">
        <v>16</v>
      </c>
      <c r="C5" s="1">
        <v>408.57628399098905</v>
      </c>
      <c r="D5" s="2">
        <v>44761</v>
      </c>
      <c r="E5" s="3">
        <v>403.79225208066578</v>
      </c>
      <c r="F5">
        <v>6.6643171488228816</v>
      </c>
      <c r="G5">
        <v>6</v>
      </c>
    </row>
    <row r="6" spans="1:7" x14ac:dyDescent="0.35">
      <c r="A6" t="s">
        <v>9</v>
      </c>
      <c r="B6">
        <v>16</v>
      </c>
      <c r="C6" s="1">
        <v>406.62018843092329</v>
      </c>
      <c r="D6" s="2">
        <v>44803</v>
      </c>
      <c r="E6" s="3">
        <f>+AVERAGE(C8:C10)</f>
        <v>378.32993322310972</v>
      </c>
      <c r="F6">
        <f>+_xlfn.STDEV.S(C8:C10)</f>
        <v>4.8377943167674102</v>
      </c>
      <c r="G6">
        <v>56</v>
      </c>
    </row>
    <row r="7" spans="1:7" x14ac:dyDescent="0.35">
      <c r="A7" t="s">
        <v>10</v>
      </c>
      <c r="B7">
        <v>16</v>
      </c>
      <c r="C7" s="1">
        <v>396.18028382008492</v>
      </c>
      <c r="D7" s="2">
        <v>44831</v>
      </c>
      <c r="E7" s="3">
        <f>+AVERAGE(C11:C13)</f>
        <v>425.08139532278364</v>
      </c>
      <c r="F7">
        <f>+_xlfn.STDEV.S(C11:C13)</f>
        <v>4.4930442514976674</v>
      </c>
      <c r="G7">
        <v>56</v>
      </c>
    </row>
    <row r="8" spans="1:7" x14ac:dyDescent="0.35">
      <c r="A8" t="s">
        <v>11</v>
      </c>
      <c r="B8">
        <v>21</v>
      </c>
      <c r="C8" s="1">
        <v>376.68630237885287</v>
      </c>
      <c r="D8" s="2">
        <v>44845</v>
      </c>
      <c r="E8" s="3">
        <f>+AVERAGE(C14:C16)</f>
        <v>390.60308462099437</v>
      </c>
      <c r="F8">
        <f>+_xlfn.STDEV.S(C14:C16)</f>
        <v>4.931461840259769</v>
      </c>
      <c r="G8">
        <v>56</v>
      </c>
    </row>
    <row r="9" spans="1:7" x14ac:dyDescent="0.35">
      <c r="A9" t="s">
        <v>12</v>
      </c>
      <c r="B9">
        <v>21</v>
      </c>
      <c r="C9" s="1">
        <v>374.52810159045526</v>
      </c>
      <c r="D9" s="2">
        <v>44915</v>
      </c>
      <c r="E9" s="3">
        <f>+AVERAGE(C17:C19)</f>
        <v>386.87657408689705</v>
      </c>
      <c r="F9">
        <f>+_xlfn.STDEV.S(C17:C19)</f>
        <v>15.539239181948245</v>
      </c>
      <c r="G9">
        <v>5</v>
      </c>
    </row>
    <row r="10" spans="1:7" x14ac:dyDescent="0.35">
      <c r="A10" t="s">
        <v>13</v>
      </c>
      <c r="B10">
        <v>21</v>
      </c>
      <c r="C10" s="1">
        <v>383.77539570002108</v>
      </c>
      <c r="D10" s="2">
        <v>44943</v>
      </c>
      <c r="E10" s="3">
        <f>+AVERAGE(C20:C22)</f>
        <v>418.97919101097773</v>
      </c>
      <c r="F10">
        <f>+_xlfn.STDEV.S(C20:C22)</f>
        <v>35.851873110983405</v>
      </c>
      <c r="G10">
        <v>5</v>
      </c>
    </row>
    <row r="11" spans="1:7" x14ac:dyDescent="0.35">
      <c r="A11" t="s">
        <v>14</v>
      </c>
      <c r="B11">
        <v>22</v>
      </c>
      <c r="C11" s="1">
        <v>421.00806633029902</v>
      </c>
      <c r="D11" s="2">
        <v>44957</v>
      </c>
      <c r="E11" s="3">
        <f>+AVERAGE(C23:C25)</f>
        <v>402.54928801084134</v>
      </c>
      <c r="F11">
        <f>+_xlfn.STDEV.S(C23:C25)</f>
        <v>5.7394844326399417</v>
      </c>
      <c r="G11">
        <v>5</v>
      </c>
    </row>
    <row r="12" spans="1:7" x14ac:dyDescent="0.35">
      <c r="A12" t="s">
        <v>15</v>
      </c>
      <c r="B12">
        <v>22</v>
      </c>
      <c r="C12" s="1">
        <v>429.90076351060981</v>
      </c>
      <c r="D12" s="2">
        <v>44894</v>
      </c>
      <c r="E12" s="3">
        <f>+AVERAGE(C12:C14)</f>
        <v>416.4824573458971</v>
      </c>
      <c r="F12">
        <f t="shared" ref="F12" si="0">+_xlfn.STDEV.S(C12:C14)</f>
        <v>18.630393440140502</v>
      </c>
      <c r="G12">
        <v>6</v>
      </c>
    </row>
    <row r="13" spans="1:7" x14ac:dyDescent="0.35">
      <c r="A13" t="s">
        <v>16</v>
      </c>
      <c r="B13">
        <v>22</v>
      </c>
      <c r="C13" s="1">
        <v>424.33535612744214</v>
      </c>
      <c r="D13" s="2">
        <v>44922</v>
      </c>
      <c r="E13" s="3">
        <f>+AVERAGE(C15:C17)</f>
        <v>382.26722747258253</v>
      </c>
      <c r="F13">
        <f>+_xlfn.STDEV.S(C15:C17)</f>
        <v>10.841576182549659</v>
      </c>
      <c r="G13">
        <v>6</v>
      </c>
    </row>
    <row r="14" spans="1:7" x14ac:dyDescent="0.35">
      <c r="A14" t="s">
        <v>17</v>
      </c>
      <c r="B14">
        <v>23</v>
      </c>
      <c r="C14" s="1">
        <v>395.21125239963931</v>
      </c>
      <c r="D14" s="2">
        <v>44936</v>
      </c>
      <c r="E14" s="3">
        <f>+AVERAGE(C18:C20)</f>
        <v>393.94239360585613</v>
      </c>
      <c r="F14">
        <f>+_xlfn.STDEV.S(C18:C20)</f>
        <v>6.1499926486165775</v>
      </c>
      <c r="G14">
        <v>6</v>
      </c>
    </row>
    <row r="15" spans="1:7" x14ac:dyDescent="0.35">
      <c r="A15" t="s">
        <v>18</v>
      </c>
      <c r="B15">
        <v>23</v>
      </c>
      <c r="C15" s="1">
        <v>385.40194909684863</v>
      </c>
      <c r="E15" s="3"/>
    </row>
    <row r="16" spans="1:7" x14ac:dyDescent="0.35">
      <c r="A16" t="s">
        <v>19</v>
      </c>
      <c r="B16">
        <v>23</v>
      </c>
      <c r="C16" s="1">
        <v>391.19605236649517</v>
      </c>
    </row>
    <row r="17" spans="1:6" x14ac:dyDescent="0.35">
      <c r="A17" t="s">
        <v>20</v>
      </c>
      <c r="B17">
        <v>531</v>
      </c>
      <c r="C17" s="1">
        <v>370.20368095440386</v>
      </c>
    </row>
    <row r="18" spans="1:6" x14ac:dyDescent="0.35">
      <c r="A18" t="s">
        <v>21</v>
      </c>
      <c r="B18">
        <v>531</v>
      </c>
      <c r="C18" s="1">
        <v>400.95574912471028</v>
      </c>
    </row>
    <row r="19" spans="1:6" x14ac:dyDescent="0.35">
      <c r="A19" t="s">
        <v>22</v>
      </c>
      <c r="B19">
        <v>531</v>
      </c>
      <c r="C19" s="1">
        <v>389.47029218157689</v>
      </c>
    </row>
    <row r="20" spans="1:6" x14ac:dyDescent="0.35">
      <c r="A20" t="s">
        <v>23</v>
      </c>
      <c r="B20">
        <v>532</v>
      </c>
      <c r="C20" s="1">
        <v>391.40113951128126</v>
      </c>
    </row>
    <row r="21" spans="1:6" x14ac:dyDescent="0.35">
      <c r="A21" t="s">
        <v>24</v>
      </c>
      <c r="B21">
        <v>532</v>
      </c>
      <c r="C21" s="1">
        <v>406.02975921039643</v>
      </c>
    </row>
    <row r="22" spans="1:6" x14ac:dyDescent="0.35">
      <c r="A22" t="s">
        <v>25</v>
      </c>
      <c r="B22">
        <v>532</v>
      </c>
      <c r="C22" s="1">
        <v>459.50667431125549</v>
      </c>
    </row>
    <row r="23" spans="1:6" x14ac:dyDescent="0.35">
      <c r="A23" t="s">
        <v>26</v>
      </c>
      <c r="B23">
        <v>533</v>
      </c>
      <c r="C23" s="1">
        <v>403.06048158147735</v>
      </c>
    </row>
    <row r="24" spans="1:6" x14ac:dyDescent="0.35">
      <c r="A24" t="s">
        <v>27</v>
      </c>
      <c r="B24">
        <v>533</v>
      </c>
      <c r="C24" s="1">
        <v>408.01607642773757</v>
      </c>
      <c r="E24" s="3"/>
    </row>
    <row r="25" spans="1:6" x14ac:dyDescent="0.35">
      <c r="A25" t="s">
        <v>28</v>
      </c>
      <c r="B25">
        <v>533</v>
      </c>
      <c r="C25" s="1">
        <v>396.57130602330892</v>
      </c>
      <c r="E25" s="3"/>
    </row>
    <row r="26" spans="1:6" x14ac:dyDescent="0.35">
      <c r="A26" t="s">
        <v>29</v>
      </c>
      <c r="B26">
        <v>631</v>
      </c>
      <c r="C26" s="1">
        <v>415.11446210485832</v>
      </c>
      <c r="D26" s="2">
        <v>44894</v>
      </c>
      <c r="E26" s="3">
        <f>+AVERAGE(C26:C28)</f>
        <v>421.68341979101029</v>
      </c>
      <c r="F26">
        <f>+_xlfn.STDEV.S(C26:C28)</f>
        <v>11.976366881800189</v>
      </c>
    </row>
    <row r="27" spans="1:6" x14ac:dyDescent="0.35">
      <c r="A27" t="s">
        <v>30</v>
      </c>
      <c r="B27">
        <v>631</v>
      </c>
      <c r="C27" s="1">
        <v>414.42892525544835</v>
      </c>
      <c r="E27" s="3"/>
    </row>
    <row r="28" spans="1:6" x14ac:dyDescent="0.35">
      <c r="A28" t="s">
        <v>31</v>
      </c>
      <c r="B28">
        <v>631</v>
      </c>
      <c r="C28" s="1">
        <v>435.50687201272422</v>
      </c>
      <c r="E28" s="3"/>
    </row>
    <row r="29" spans="1:6" x14ac:dyDescent="0.35">
      <c r="A29" t="s">
        <v>32</v>
      </c>
      <c r="B29">
        <v>632</v>
      </c>
      <c r="C29" s="1">
        <v>405.00128015357154</v>
      </c>
      <c r="D29" s="2">
        <v>44922</v>
      </c>
      <c r="E29" s="3">
        <f>+AVERAGE(C29:C31)</f>
        <v>418.00884897713303</v>
      </c>
      <c r="F29">
        <f>+_xlfn.STDEV.S(C29:C31)</f>
        <v>12.173419744392714</v>
      </c>
    </row>
    <row r="30" spans="1:6" x14ac:dyDescent="0.35">
      <c r="A30" t="s">
        <v>33</v>
      </c>
      <c r="B30">
        <v>632</v>
      </c>
      <c r="C30" s="1">
        <v>429.1272312314569</v>
      </c>
      <c r="E30" s="3"/>
    </row>
    <row r="31" spans="1:6" x14ac:dyDescent="0.35">
      <c r="A31" t="s">
        <v>34</v>
      </c>
      <c r="B31">
        <v>632</v>
      </c>
      <c r="C31" s="1">
        <v>419.89803554637069</v>
      </c>
      <c r="E31" s="3"/>
    </row>
    <row r="32" spans="1:6" x14ac:dyDescent="0.35">
      <c r="A32" t="s">
        <v>35</v>
      </c>
      <c r="B32">
        <v>633</v>
      </c>
      <c r="C32" s="1">
        <v>387.14603535649729</v>
      </c>
      <c r="D32" s="2">
        <v>44936</v>
      </c>
      <c r="E32" s="3">
        <f>+AVERAGE(C32:C34)</f>
        <v>390.70088041918098</v>
      </c>
      <c r="F32">
        <f>+_xlfn.STDEV.S(C32:C34)</f>
        <v>9.0248704815066656</v>
      </c>
    </row>
    <row r="33" spans="1:5" x14ac:dyDescent="0.35">
      <c r="A33" t="s">
        <v>36</v>
      </c>
      <c r="B33">
        <v>633</v>
      </c>
      <c r="C33" s="1">
        <v>383.99475448050117</v>
      </c>
      <c r="E33" s="3"/>
    </row>
    <row r="34" spans="1:5" x14ac:dyDescent="0.35">
      <c r="A34" t="s">
        <v>37</v>
      </c>
      <c r="B34">
        <v>633</v>
      </c>
      <c r="C34" s="1">
        <v>400.96185142054435</v>
      </c>
      <c r="E3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2024-01-30T11:32:57Z</dcterms:modified>
</cp:coreProperties>
</file>