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6" i="1"/>
  <c r="K8" i="1"/>
  <c r="K10" i="1"/>
  <c r="K12" i="1"/>
  <c r="K14" i="1"/>
  <c r="K16" i="1"/>
  <c r="K18" i="1"/>
  <c r="K20" i="1"/>
  <c r="K2" i="1"/>
  <c r="J4" i="1"/>
  <c r="J6" i="1"/>
  <c r="J8" i="1"/>
  <c r="J10" i="1"/>
  <c r="J12" i="1"/>
  <c r="J14" i="1"/>
  <c r="J16" i="1"/>
  <c r="J18" i="1"/>
  <c r="J20" i="1"/>
  <c r="J2" i="1"/>
  <c r="G21" i="1" l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I16" i="1" l="1"/>
  <c r="I14" i="1"/>
  <c r="I4" i="1"/>
  <c r="I6" i="1"/>
  <c r="I8" i="1"/>
  <c r="I10" i="1"/>
  <c r="I12" i="1"/>
  <c r="I18" i="1"/>
  <c r="I20" i="1"/>
  <c r="I2" i="1"/>
</calcChain>
</file>

<file path=xl/sharedStrings.xml><?xml version="1.0" encoding="utf-8"?>
<sst xmlns="http://schemas.openxmlformats.org/spreadsheetml/2006/main" count="32" uniqueCount="22">
  <si>
    <t>ID</t>
  </si>
  <si>
    <t>Description</t>
  </si>
  <si>
    <t>Date</t>
  </si>
  <si>
    <t>NDF_%</t>
  </si>
  <si>
    <t>DM_%</t>
  </si>
  <si>
    <t>F1.5</t>
  </si>
  <si>
    <t>F1.6</t>
  </si>
  <si>
    <t>F2.5</t>
  </si>
  <si>
    <t>F2.6</t>
  </si>
  <si>
    <t>F3.1.5</t>
  </si>
  <si>
    <t>F3.1.6</t>
  </si>
  <si>
    <t>F3.2.5</t>
  </si>
  <si>
    <t>F3.2.6</t>
  </si>
  <si>
    <t>F3.3.5</t>
  </si>
  <si>
    <t>F3.3.6</t>
  </si>
  <si>
    <t>NDF2x_%</t>
  </si>
  <si>
    <t>ID_Number</t>
  </si>
  <si>
    <t>Section</t>
  </si>
  <si>
    <t>ADL2x_%</t>
  </si>
  <si>
    <t>ADL_%</t>
  </si>
  <si>
    <t>ADF2x_%</t>
  </si>
  <si>
    <t>ADF_%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</si>
</sst>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/>
    <xf numFmtId="0" fontId="0" fillId="3" borderId="3" xfId="0" applyFill="1" applyBorder="1"/>
    <xf numFmtId="0" fontId="0" fillId="0" borderId="4" xfId="0" applyFill="1" applyBorder="1"/>
    <xf numFmtId="0" fontId="2" fillId="2" borderId="0" xfId="0" applyFont="1" applyFill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L24" sqref="L24"/>
    </sheetView>
  </sheetViews>
  <sheetFormatPr defaultRowHeight="14.5" x14ac:dyDescent="0.35"/>
  <cols>
    <col min="1" max="1" width="10.08984375" bestFit="1" customWidth="1"/>
    <col min="2" max="2" width="11.90625" bestFit="1" customWidth="1"/>
    <col min="3" max="3" width="11.6328125" bestFit="1" customWidth="1"/>
    <col min="4" max="4" width="11.81640625" bestFit="1" customWidth="1"/>
    <col min="5" max="6" width="11.81640625" customWidth="1"/>
  </cols>
  <sheetData>
    <row r="1" spans="1:12" ht="16" thickBot="1" x14ac:dyDescent="0.4">
      <c r="A1" s="1" t="s">
        <v>2</v>
      </c>
      <c r="B1" s="1" t="s">
        <v>16</v>
      </c>
      <c r="C1" s="2" t="s">
        <v>1</v>
      </c>
      <c r="D1" s="2" t="s">
        <v>15</v>
      </c>
      <c r="E1" s="2" t="s">
        <v>18</v>
      </c>
      <c r="F1" s="2" t="s">
        <v>20</v>
      </c>
      <c r="G1" s="2" t="s">
        <v>4</v>
      </c>
      <c r="H1" s="6" t="s">
        <v>0</v>
      </c>
      <c r="I1" s="6" t="s">
        <v>3</v>
      </c>
      <c r="J1" s="6" t="s">
        <v>19</v>
      </c>
      <c r="K1" s="6" t="s">
        <v>21</v>
      </c>
      <c r="L1" s="6" t="s">
        <v>17</v>
      </c>
    </row>
    <row r="2" spans="1:12" x14ac:dyDescent="0.35">
      <c r="A2" s="7">
        <v>44690</v>
      </c>
      <c r="B2" s="3">
        <v>1</v>
      </c>
      <c r="C2" s="3">
        <v>1.1000000000000001</v>
      </c>
      <c r="D2">
        <v>48.184149955741006</v>
      </c>
      <c r="E2">
        <v>5.9872396894644471</v>
      </c>
      <c r="F2">
        <v>22.03929009899592</v>
      </c>
      <c r="G2">
        <f>26.25/112.89*100</f>
        <v>23.25272389051289</v>
      </c>
      <c r="H2" s="5" t="s">
        <v>5</v>
      </c>
      <c r="I2">
        <f>+AVERAGE(D2:D3)</f>
        <v>48.490519974984863</v>
      </c>
      <c r="J2">
        <f>+AVERAGE(E2:E3)</f>
        <v>6.0129370397341209</v>
      </c>
      <c r="K2">
        <f>+AVERAGE(F2:F3)</f>
        <v>22.184174888231574</v>
      </c>
      <c r="L2">
        <v>5</v>
      </c>
    </row>
    <row r="3" spans="1:12" x14ac:dyDescent="0.35">
      <c r="A3" s="7">
        <v>44767</v>
      </c>
      <c r="B3" s="3">
        <v>1</v>
      </c>
      <c r="C3" s="3">
        <v>1.2</v>
      </c>
      <c r="D3">
        <v>48.796889994228714</v>
      </c>
      <c r="E3">
        <v>6.0386343900037946</v>
      </c>
      <c r="F3">
        <v>22.329059677467225</v>
      </c>
      <c r="G3">
        <f>26.25/112.89*100</f>
        <v>23.25272389051289</v>
      </c>
      <c r="H3" t="s">
        <v>5</v>
      </c>
      <c r="I3">
        <v>48.490519974984863</v>
      </c>
      <c r="J3">
        <v>6.0129370397341209</v>
      </c>
      <c r="K3">
        <v>22.184174888231574</v>
      </c>
      <c r="L3">
        <v>5</v>
      </c>
    </row>
    <row r="4" spans="1:12" x14ac:dyDescent="0.35">
      <c r="A4" s="7">
        <v>44686</v>
      </c>
      <c r="B4" s="3">
        <v>2</v>
      </c>
      <c r="C4" s="3">
        <v>2.1</v>
      </c>
      <c r="D4">
        <v>47.636828967822431</v>
      </c>
      <c r="E4">
        <v>5.7135688874315402</v>
      </c>
      <c r="F4">
        <v>21.94963753261122</v>
      </c>
      <c r="G4">
        <f>23.89/102.64*100</f>
        <v>23.275526110678101</v>
      </c>
      <c r="H4" t="s">
        <v>6</v>
      </c>
      <c r="I4">
        <f>+AVERAGE(D4:D5)</f>
        <v>47.581640899034696</v>
      </c>
      <c r="J4">
        <f>+AVERAGE(E4:E5)</f>
        <v>5.5087140793041645</v>
      </c>
      <c r="K4">
        <f t="shared" ref="K3:K21" si="0">+AVERAGE(F4:F5)</f>
        <v>21.977446114218736</v>
      </c>
      <c r="L4">
        <v>6</v>
      </c>
    </row>
    <row r="5" spans="1:12" x14ac:dyDescent="0.35">
      <c r="A5" s="7">
        <v>44761</v>
      </c>
      <c r="B5" s="3">
        <v>2</v>
      </c>
      <c r="C5" s="3">
        <v>2.2000000000000002</v>
      </c>
      <c r="D5">
        <v>47.52645283024696</v>
      </c>
      <c r="E5">
        <v>5.3038592711767896</v>
      </c>
      <c r="F5">
        <v>22.005254695826256</v>
      </c>
      <c r="G5">
        <f>23.89/102.64*100</f>
        <v>23.275526110678101</v>
      </c>
      <c r="H5" t="s">
        <v>6</v>
      </c>
      <c r="I5">
        <v>47.581640899034696</v>
      </c>
      <c r="J5">
        <v>5.5087140793041645</v>
      </c>
      <c r="K5">
        <v>21.977446114218736</v>
      </c>
      <c r="L5">
        <v>6</v>
      </c>
    </row>
    <row r="6" spans="1:12" x14ac:dyDescent="0.35">
      <c r="A6" s="7">
        <v>44784</v>
      </c>
      <c r="B6" s="3">
        <v>3</v>
      </c>
      <c r="C6" s="3">
        <v>3.1</v>
      </c>
      <c r="D6">
        <v>47.955115573346987</v>
      </c>
      <c r="E6">
        <v>4.6576943409496359</v>
      </c>
      <c r="F6">
        <v>22.649556999492539</v>
      </c>
      <c r="G6">
        <f>33.7/124.54*100</f>
        <v>27.05957925164606</v>
      </c>
      <c r="H6" t="s">
        <v>7</v>
      </c>
      <c r="I6">
        <f t="shared" ref="I6:I20" si="1">+AVERAGE(D6:D7)</f>
        <v>48.836760496648523</v>
      </c>
      <c r="J6">
        <f>+AVERAGE(E6:E7)</f>
        <v>4.6850687956616781</v>
      </c>
      <c r="K6">
        <f t="shared" si="0"/>
        <v>23.290211279450801</v>
      </c>
      <c r="L6">
        <v>5</v>
      </c>
    </row>
    <row r="7" spans="1:12" x14ac:dyDescent="0.35">
      <c r="A7" s="7">
        <v>44881</v>
      </c>
      <c r="B7" s="3">
        <v>3</v>
      </c>
      <c r="C7" s="3">
        <v>3.2</v>
      </c>
      <c r="D7">
        <v>49.718405419950052</v>
      </c>
      <c r="E7">
        <v>4.7124432503737204</v>
      </c>
      <c r="F7">
        <v>23.93086555940906</v>
      </c>
      <c r="G7">
        <f>33.7/124.54*100</f>
        <v>27.05957925164606</v>
      </c>
      <c r="H7" t="s">
        <v>7</v>
      </c>
      <c r="I7">
        <v>48.836760496648523</v>
      </c>
      <c r="J7">
        <v>4.6850687956616781</v>
      </c>
      <c r="K7">
        <v>23.290211279450801</v>
      </c>
      <c r="L7">
        <v>5</v>
      </c>
    </row>
    <row r="8" spans="1:12" x14ac:dyDescent="0.35">
      <c r="A8" s="7">
        <v>44781</v>
      </c>
      <c r="B8" s="3">
        <v>4</v>
      </c>
      <c r="C8" s="3">
        <v>4.0999999999999996</v>
      </c>
      <c r="D8">
        <v>51.859875148442619</v>
      </c>
      <c r="E8">
        <v>4.6605670964193591</v>
      </c>
      <c r="F8">
        <v>23.944544758047343</v>
      </c>
      <c r="G8">
        <f>32.2/117.16*100</f>
        <v>27.48378286104473</v>
      </c>
      <c r="H8" t="s">
        <v>8</v>
      </c>
      <c r="I8">
        <f t="shared" si="1"/>
        <v>51.078692082245873</v>
      </c>
      <c r="J8">
        <f>+AVERAGE(E8:E9)</f>
        <v>4.6520671203776427</v>
      </c>
      <c r="K8">
        <f t="shared" si="0"/>
        <v>23.667419852895705</v>
      </c>
      <c r="L8">
        <v>6</v>
      </c>
    </row>
    <row r="9" spans="1:12" x14ac:dyDescent="0.35">
      <c r="A9" s="7">
        <v>44865</v>
      </c>
      <c r="B9" s="3">
        <v>4</v>
      </c>
      <c r="C9" s="3">
        <v>4.2</v>
      </c>
      <c r="D9">
        <v>50.297509016049126</v>
      </c>
      <c r="E9">
        <v>4.6435671443359263</v>
      </c>
      <c r="F9">
        <v>23.390294947744064</v>
      </c>
      <c r="G9">
        <f>32.2/117.16*100</f>
        <v>27.48378286104473</v>
      </c>
      <c r="H9" t="s">
        <v>8</v>
      </c>
      <c r="I9">
        <v>51.078692082245873</v>
      </c>
      <c r="J9">
        <v>4.6520671203776427</v>
      </c>
      <c r="K9">
        <v>23.667419852895705</v>
      </c>
      <c r="L9">
        <v>6</v>
      </c>
    </row>
    <row r="10" spans="1:12" x14ac:dyDescent="0.35">
      <c r="A10" s="7">
        <v>44915</v>
      </c>
      <c r="B10" s="3">
        <v>5</v>
      </c>
      <c r="C10" s="3">
        <v>5.0999999999999996</v>
      </c>
      <c r="D10">
        <v>39.304699025953333</v>
      </c>
      <c r="E10">
        <v>3.5700051485747082</v>
      </c>
      <c r="F10">
        <v>19.165572059593742</v>
      </c>
      <c r="G10">
        <f>33.6/117.16*100</f>
        <v>28.678729941959713</v>
      </c>
      <c r="H10" t="s">
        <v>9</v>
      </c>
      <c r="I10">
        <f t="shared" si="1"/>
        <v>39.785982427105701</v>
      </c>
      <c r="J10">
        <f>+AVERAGE(E10:E11)</f>
        <v>3.6040542995087019</v>
      </c>
      <c r="K10">
        <f t="shared" si="0"/>
        <v>18.969493657550636</v>
      </c>
      <c r="L10">
        <v>5</v>
      </c>
    </row>
    <row r="11" spans="1:12" x14ac:dyDescent="0.35">
      <c r="A11" s="7">
        <v>44915</v>
      </c>
      <c r="B11" s="4">
        <v>5</v>
      </c>
      <c r="C11" s="4">
        <v>5.2</v>
      </c>
      <c r="D11">
        <v>40.267265828258068</v>
      </c>
      <c r="E11">
        <v>3.6381034504426961</v>
      </c>
      <c r="F11">
        <v>18.77341525550753</v>
      </c>
      <c r="G11">
        <f>33.6/117.16*100</f>
        <v>28.678729941959713</v>
      </c>
      <c r="H11" t="s">
        <v>9</v>
      </c>
      <c r="I11">
        <v>39.785982427105701</v>
      </c>
      <c r="J11">
        <v>3.6040542995087019</v>
      </c>
      <c r="K11">
        <v>18.969493657550636</v>
      </c>
      <c r="L11">
        <v>5</v>
      </c>
    </row>
    <row r="12" spans="1:12" x14ac:dyDescent="0.35">
      <c r="A12" s="7">
        <v>44894</v>
      </c>
      <c r="B12" s="3">
        <v>6</v>
      </c>
      <c r="C12" s="3">
        <v>6.1</v>
      </c>
      <c r="D12">
        <v>47.069672708577372</v>
      </c>
      <c r="E12">
        <v>4.5834797121760227</v>
      </c>
      <c r="F12">
        <v>22.370207419422094</v>
      </c>
      <c r="G12">
        <f>55.5/220.78*100</f>
        <v>25.138146571247393</v>
      </c>
      <c r="H12" t="s">
        <v>10</v>
      </c>
      <c r="I12">
        <f t="shared" si="1"/>
        <v>47.352771345113922</v>
      </c>
      <c r="J12">
        <f>+AVERAGE(E12:E13)</f>
        <v>4.6673747987089982</v>
      </c>
      <c r="K12">
        <f t="shared" si="0"/>
        <v>22.612073403203937</v>
      </c>
      <c r="L12">
        <v>6</v>
      </c>
    </row>
    <row r="13" spans="1:12" x14ac:dyDescent="0.35">
      <c r="A13" s="7">
        <v>44894</v>
      </c>
      <c r="B13" s="3">
        <v>6</v>
      </c>
      <c r="C13" s="3">
        <v>6.2</v>
      </c>
      <c r="D13">
        <v>47.635869981650472</v>
      </c>
      <c r="E13">
        <v>4.7512698852419728</v>
      </c>
      <c r="F13">
        <v>22.853939386985775</v>
      </c>
      <c r="G13">
        <f>55.5/220.78*100</f>
        <v>25.138146571247393</v>
      </c>
      <c r="H13" t="s">
        <v>10</v>
      </c>
      <c r="I13">
        <v>47.352771345113922</v>
      </c>
      <c r="J13">
        <v>4.6673747987089982</v>
      </c>
      <c r="K13">
        <v>22.612073403203937</v>
      </c>
      <c r="L13">
        <v>6</v>
      </c>
    </row>
    <row r="14" spans="1:12" x14ac:dyDescent="0.35">
      <c r="A14" s="7">
        <v>44943</v>
      </c>
      <c r="B14" s="3">
        <v>7</v>
      </c>
      <c r="C14" s="3">
        <v>7.1</v>
      </c>
      <c r="D14">
        <v>48.162239734939554</v>
      </c>
      <c r="E14">
        <v>4.5588410119752227</v>
      </c>
      <c r="F14">
        <v>22.321503828708458</v>
      </c>
      <c r="G14">
        <f>58/212.07*100</f>
        <v>27.349460083934552</v>
      </c>
      <c r="H14" t="s">
        <v>11</v>
      </c>
      <c r="I14">
        <f>+AVERAGE(D14:D15)</f>
        <v>49.087886705640287</v>
      </c>
      <c r="J14">
        <f>+AVERAGE(E14:E15)</f>
        <v>4.68186113016856</v>
      </c>
      <c r="K14">
        <f t="shared" si="0"/>
        <v>22.824229270033243</v>
      </c>
      <c r="L14">
        <v>5</v>
      </c>
    </row>
    <row r="15" spans="1:12" x14ac:dyDescent="0.35">
      <c r="A15" s="7">
        <v>44943</v>
      </c>
      <c r="B15" s="3">
        <v>7</v>
      </c>
      <c r="C15" s="3">
        <v>7.2</v>
      </c>
      <c r="D15">
        <v>50.013533676341012</v>
      </c>
      <c r="E15">
        <v>4.8048812483618972</v>
      </c>
      <c r="F15">
        <v>23.326954711358024</v>
      </c>
      <c r="G15">
        <f>58/212.07*100</f>
        <v>27.349460083934552</v>
      </c>
      <c r="H15" t="s">
        <v>11</v>
      </c>
      <c r="I15">
        <v>49.087886705640287</v>
      </c>
      <c r="J15">
        <v>4.68186113016856</v>
      </c>
      <c r="K15">
        <v>22.824229270033243</v>
      </c>
      <c r="L15">
        <v>5</v>
      </c>
    </row>
    <row r="16" spans="1:12" x14ac:dyDescent="0.35">
      <c r="A16" s="7">
        <v>44922</v>
      </c>
      <c r="B16" s="3">
        <v>8</v>
      </c>
      <c r="C16" s="3">
        <v>8.1</v>
      </c>
      <c r="D16">
        <v>48.503358602163047</v>
      </c>
      <c r="E16">
        <v>4.781280018436016</v>
      </c>
      <c r="F16">
        <v>23.000121583261475</v>
      </c>
      <c r="G16">
        <f>50.1/223.28*100</f>
        <v>22.438194195628807</v>
      </c>
      <c r="H16" t="s">
        <v>12</v>
      </c>
      <c r="I16">
        <f>+AVERAGE(D16:D17)</f>
        <v>49.002873911305102</v>
      </c>
      <c r="J16">
        <f>+AVERAGE(E16:E17)</f>
        <v>4.7967466347071213</v>
      </c>
      <c r="K16">
        <f t="shared" si="0"/>
        <v>23.248657450532619</v>
      </c>
      <c r="L16">
        <v>6</v>
      </c>
    </row>
    <row r="17" spans="1:12" x14ac:dyDescent="0.35">
      <c r="A17" s="7">
        <v>44922</v>
      </c>
      <c r="B17" s="3">
        <v>8</v>
      </c>
      <c r="C17" s="3">
        <v>8.1999999999999993</v>
      </c>
      <c r="D17">
        <v>49.502389220447157</v>
      </c>
      <c r="E17">
        <v>4.8122132509782274</v>
      </c>
      <c r="F17">
        <v>23.49719331780376</v>
      </c>
      <c r="G17">
        <f>50.1/223.28*100</f>
        <v>22.438194195628807</v>
      </c>
      <c r="H17" t="s">
        <v>12</v>
      </c>
      <c r="I17">
        <v>49.002873911305102</v>
      </c>
      <c r="J17">
        <v>4.7967466347071213</v>
      </c>
      <c r="K17">
        <v>23.248657450532619</v>
      </c>
      <c r="L17">
        <v>6</v>
      </c>
    </row>
    <row r="18" spans="1:12" x14ac:dyDescent="0.35">
      <c r="A18" s="7">
        <v>44957</v>
      </c>
      <c r="B18" s="3">
        <v>9</v>
      </c>
      <c r="C18" s="3">
        <v>9.1</v>
      </c>
      <c r="D18">
        <v>47.91816239608756</v>
      </c>
      <c r="E18">
        <v>4.743608343542725</v>
      </c>
      <c r="F18">
        <v>21.372174699439032</v>
      </c>
      <c r="G18">
        <f>56.6/236.14*100</f>
        <v>23.968832048784623</v>
      </c>
      <c r="H18" t="s">
        <v>13</v>
      </c>
      <c r="I18">
        <f t="shared" si="1"/>
        <v>47.735960981390207</v>
      </c>
      <c r="J18">
        <f>+AVERAGE(E18:E19)</f>
        <v>4.6922601241487127</v>
      </c>
      <c r="K18">
        <f t="shared" si="0"/>
        <v>21.462063108602763</v>
      </c>
      <c r="L18">
        <v>5</v>
      </c>
    </row>
    <row r="19" spans="1:12" x14ac:dyDescent="0.35">
      <c r="A19" s="7">
        <v>44957</v>
      </c>
      <c r="B19" s="3">
        <v>9</v>
      </c>
      <c r="C19" s="3">
        <v>9.1999999999999993</v>
      </c>
      <c r="D19">
        <v>47.553759566692861</v>
      </c>
      <c r="E19">
        <v>4.6409119047547005</v>
      </c>
      <c r="F19">
        <v>21.551951517766497</v>
      </c>
      <c r="G19">
        <f>56.6/236.14*100</f>
        <v>23.968832048784623</v>
      </c>
      <c r="H19" t="s">
        <v>13</v>
      </c>
      <c r="I19">
        <v>47.735960981390207</v>
      </c>
      <c r="J19">
        <v>4.6922601241487127</v>
      </c>
      <c r="K19">
        <v>21.462063108602763</v>
      </c>
      <c r="L19">
        <v>5</v>
      </c>
    </row>
    <row r="20" spans="1:12" x14ac:dyDescent="0.35">
      <c r="A20" s="7">
        <v>44936</v>
      </c>
      <c r="B20" s="3">
        <v>10</v>
      </c>
      <c r="C20" s="3">
        <v>10.1</v>
      </c>
      <c r="D20">
        <v>52.151396878248391</v>
      </c>
      <c r="E20">
        <v>5.0783469039014708</v>
      </c>
      <c r="F20">
        <v>23.313162929876587</v>
      </c>
      <c r="G20">
        <f>55.8/168.42*100</f>
        <v>33.131457071606697</v>
      </c>
      <c r="H20" t="s">
        <v>14</v>
      </c>
      <c r="I20">
        <f t="shared" si="1"/>
        <v>52.736398533938065</v>
      </c>
      <c r="J20">
        <f>+AVERAGE(E20:E21)</f>
        <v>5.0863786133370015</v>
      </c>
      <c r="K20">
        <f t="shared" si="0"/>
        <v>23.742359367051701</v>
      </c>
      <c r="L20">
        <v>6</v>
      </c>
    </row>
    <row r="21" spans="1:12" x14ac:dyDescent="0.35">
      <c r="A21" s="7">
        <v>44936</v>
      </c>
      <c r="B21" s="3">
        <v>10</v>
      </c>
      <c r="C21" s="3">
        <v>10.199999999999999</v>
      </c>
      <c r="D21">
        <v>53.321400189627738</v>
      </c>
      <c r="E21">
        <v>5.0944103227725321</v>
      </c>
      <c r="F21">
        <v>24.171555804226816</v>
      </c>
      <c r="G21">
        <f>55.8/168.42*100</f>
        <v>33.131457071606697</v>
      </c>
      <c r="H21" t="s">
        <v>14</v>
      </c>
      <c r="I21">
        <v>52.736398533938065</v>
      </c>
      <c r="J21">
        <v>5.0863786133370015</v>
      </c>
      <c r="K21">
        <v>23.742359367051701</v>
      </c>
      <c r="L2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2024-01-29T10:46:25Z</dcterms:modified>
</cp:coreProperties>
</file>