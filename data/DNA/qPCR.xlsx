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2" i="2"/>
</calcChain>
</file>

<file path=xl/sharedStrings.xml><?xml version="1.0" encoding="utf-8"?>
<sst xmlns="http://schemas.openxmlformats.org/spreadsheetml/2006/main" count="87" uniqueCount="56">
  <si>
    <t>Week</t>
  </si>
  <si>
    <t>Before/after Flush</t>
  </si>
  <si>
    <t>Sample tag</t>
  </si>
  <si>
    <t>Cell count from 16S*</t>
  </si>
  <si>
    <t>Percentage of total 16S</t>
  </si>
  <si>
    <t>Cell count mcrA</t>
  </si>
  <si>
    <t>Percentage of total mcrA</t>
  </si>
  <si>
    <t>Total</t>
  </si>
  <si>
    <t>Ratio mcrA : 16S</t>
  </si>
  <si>
    <t>Before Flush</t>
  </si>
  <si>
    <t>p1</t>
  </si>
  <si>
    <t>p2</t>
  </si>
  <si>
    <t>After Flush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</si>
  <si>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</si>
  <si>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</si>
  <si>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</si>
  <si>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</si>
  <si>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</si>
  <si>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</si>
  <si>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</si>
  <si>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</si>
  <si>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</si>
  <si>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Time0_Before</t>
  </si>
  <si>
    <t>Time0_Solid_Before</t>
  </si>
  <si>
    <t>Time0_After</t>
  </si>
  <si>
    <t>Time0_Solid_After</t>
  </si>
  <si>
    <t>Time1_Before</t>
  </si>
  <si>
    <t>Time1_After</t>
  </si>
  <si>
    <t>Time1_Liquid_After</t>
  </si>
  <si>
    <t>Time2_Before</t>
  </si>
  <si>
    <t>Time2_After</t>
  </si>
  <si>
    <t>Time3_Before</t>
  </si>
  <si>
    <t>Time3_After</t>
  </si>
  <si>
    <t>SampleID</t>
  </si>
  <si>
    <t>Raw sample</t>
  </si>
  <si>
    <t>Time taken</t>
  </si>
  <si>
    <t>Sample volume (µL)</t>
  </si>
  <si>
    <t>DNA extraction volume (µL)</t>
  </si>
  <si>
    <t>DNA Yield (ng/µL)</t>
  </si>
  <si>
    <t>DNA dilution factor (with NFW)</t>
  </si>
  <si>
    <t>DNA conc. (ng/µL)</t>
  </si>
  <si>
    <t>14-02-2023 "time 0" 0,1</t>
  </si>
  <si>
    <t>BF</t>
  </si>
  <si>
    <t>14-02-2023 "time 0" 0,3</t>
  </si>
  <si>
    <t>14-02-2023 "time 0" 0,5</t>
  </si>
  <si>
    <t>AF</t>
  </si>
  <si>
    <t>14-02-2023 "time 0" 0,6</t>
  </si>
  <si>
    <t>Time 1 after 1st flush 1.1</t>
  </si>
  <si>
    <t>Time 1 after 1st flush 1.3</t>
  </si>
  <si>
    <t>Time 1 after 1st flush 1.5</t>
  </si>
  <si>
    <t>Time 2 2nd flush 2.1</t>
  </si>
  <si>
    <t>Time 2 2nd flush 2.3</t>
  </si>
  <si>
    <t>Time 3 3rd flush 3.1</t>
  </si>
  <si>
    <t>Time 3 3rd flush 3.3</t>
  </si>
  <si>
    <t>Counts/ng DNA extracted</t>
  </si>
  <si>
    <t>Counts mcra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</si>
</sst>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/>
    <xf numFmtId="0" fontId="0" fillId="0" borderId="10" xfId="0" applyBorder="1" applyAlignment="1">
      <alignment horizontal="center"/>
    </xf>
    <xf numFmtId="11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1" fontId="0" fillId="0" borderId="10" xfId="0" applyNumberFormat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5" fillId="33" borderId="10" xfId="0" applyFont="1" applyFill="1" applyBorder="1" applyAlignment="1">
      <alignment horizontal="center"/>
    </xf>
    <xf numFmtId="0" fontId="15" fillId="33" borderId="10" xfId="0" applyFont="1" applyFill="1" applyBorder="1" applyAlignment="1">
      <alignment horizontal="center" vertical="center"/>
    </xf>
    <xf numFmtId="10" fontId="0" fillId="0" borderId="10" xfId="1" applyNumberFormat="1" applyFont="1" applyBorder="1" applyAlignment="1">
      <alignment horizontal="center" vertical="center"/>
    </xf>
    <xf numFmtId="0" fontId="0" fillId="34" borderId="0" xfId="0" applyFill="1"/>
    <xf numFmtId="0" fontId="0" fillId="33" borderId="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0" borderId="0" xfId="0"/>
    <xf numFmtId="0" fontId="0" fillId="0" borderId="10" xfId="0" applyBorder="1" applyAlignment="1">
      <alignment horizontal="center"/>
    </xf>
    <xf numFmtId="11" fontId="0" fillId="0" borderId="10" xfId="0" applyNumberFormat="1" applyBorder="1" applyAlignment="1">
      <alignment horizontal="center" vertical="center"/>
    </xf>
    <xf numFmtId="11" fontId="0" fillId="0" borderId="10" xfId="0" applyNumberFormat="1" applyBorder="1" applyAlignment="1">
      <alignment horizontal="center"/>
    </xf>
    <xf numFmtId="0" fontId="0" fillId="33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15" fillId="33" borderId="10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2" builtinId="34" customBuiltin="1"/>
    <cellStyle name="20% - Accent3" xfId="25" builtinId="38" customBuiltin="1"/>
    <cellStyle name="20% - Accent4" xfId="28" builtinId="42" customBuiltin="1"/>
    <cellStyle name="20% - Accent5" xfId="31" builtinId="46" customBuiltin="1"/>
    <cellStyle name="20% - Accent6" xfId="34" builtinId="50" customBuiltin="1"/>
    <cellStyle name="40% - Accent1" xfId="20" builtinId="31" customBuiltin="1"/>
    <cellStyle name="40% - Accent2" xfId="23" builtinId="35" customBuiltin="1"/>
    <cellStyle name="40% - Accent3" xfId="26" builtinId="39" customBuiltin="1"/>
    <cellStyle name="40% - Accent4" xfId="29" builtinId="43" customBuiltin="1"/>
    <cellStyle name="40% - Accent5" xfId="32" builtinId="47" customBuiltin="1"/>
    <cellStyle name="40% - Accent6" xfId="35" builtinId="51" customBuiltin="1"/>
    <cellStyle name="60% - Accent1 2" xfId="37"/>
    <cellStyle name="60% - Accent2 2" xfId="38"/>
    <cellStyle name="60% - Accent3 2" xfId="39"/>
    <cellStyle name="60% - Accent4 2" xfId="40"/>
    <cellStyle name="60% - Accent5 2" xfId="41"/>
    <cellStyle name="60% - Accent6 2" xfId="42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 2" xfId="36"/>
    <cellStyle name="Normal" xfId="0" builtinId="0"/>
    <cellStyle name="Note" xfId="15" builtinId="10" customBuiltin="1"/>
    <cellStyle name="Output" xfId="10" builtinId="21" customBuiltin="1"/>
    <cellStyle name="Percent" xfId="1" builtinId="5"/>
    <cellStyle name="Title" xfId="2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opLeftCell="D1" workbookViewId="0">
      <selection activeCell="K2" sqref="K2"/>
    </sheetView>
  </sheetViews>
  <sheetFormatPr defaultRowHeight="14.5" x14ac:dyDescent="0.35"/>
  <cols>
    <col min="1" max="2" width="21.54296875" bestFit="1" customWidth="1"/>
    <col min="3" max="4" width="16.08984375" bestFit="1" customWidth="1"/>
    <col min="5" max="5" width="18.1796875" bestFit="1" customWidth="1"/>
    <col min="6" max="7" width="20.36328125" bestFit="1" customWidth="1"/>
    <col min="8" max="9" width="21.90625" bestFit="1" customWidth="1"/>
    <col min="10" max="10" width="14.453125" bestFit="1" customWidth="1"/>
    <col min="11" max="11" width="22.1796875" bestFit="1" customWidth="1"/>
  </cols>
  <sheetData>
    <row r="1" spans="1:11" x14ac:dyDescent="0.35">
      <c r="A1" s="6" t="s">
        <v>33</v>
      </c>
      <c r="B1" s="6" t="s">
        <v>0</v>
      </c>
      <c r="C1" s="6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8" t="s">
        <v>8</v>
      </c>
      <c r="K1" s="10" t="s">
        <v>54</v>
      </c>
    </row>
    <row r="2" spans="1:11" x14ac:dyDescent="0.35">
      <c r="A2" s="2" t="s">
        <v>22</v>
      </c>
      <c r="B2" s="2">
        <v>0</v>
      </c>
      <c r="C2" s="1" t="s">
        <v>9</v>
      </c>
      <c r="D2" s="2" t="s">
        <v>10</v>
      </c>
      <c r="E2" s="5">
        <v>8159771170.61059</v>
      </c>
      <c r="F2" s="4">
        <v>96.173258644985566</v>
      </c>
      <c r="G2" s="3">
        <v>324677922.17892319</v>
      </c>
      <c r="H2" s="4">
        <v>3.8267413550144327</v>
      </c>
      <c r="I2" s="5">
        <v>8484449092.7895136</v>
      </c>
      <c r="J2" s="9">
        <v>3.9790076877196025E-2</v>
      </c>
      <c r="K2">
        <v>83037.831759315392</v>
      </c>
    </row>
    <row r="3" spans="1:11" x14ac:dyDescent="0.35">
      <c r="A3" s="2" t="s">
        <v>23</v>
      </c>
      <c r="B3" s="2">
        <v>0</v>
      </c>
      <c r="C3" s="1" t="s">
        <v>9</v>
      </c>
      <c r="D3" s="2" t="s">
        <v>11</v>
      </c>
      <c r="E3" s="5">
        <v>14726830691.989765</v>
      </c>
      <c r="F3" s="4">
        <v>97.661732274859389</v>
      </c>
      <c r="G3" s="3">
        <v>352597400.21583068</v>
      </c>
      <c r="H3" s="4">
        <v>2.3382677251406152</v>
      </c>
      <c r="I3" s="5">
        <v>15079428092.205595</v>
      </c>
      <c r="J3" s="9">
        <v>2.3942517408556605E-2</v>
      </c>
      <c r="K3">
        <v>47170.220764659622</v>
      </c>
    </row>
    <row r="4" spans="1:11" x14ac:dyDescent="0.35">
      <c r="A4" s="2" t="s">
        <v>24</v>
      </c>
      <c r="B4" s="2">
        <v>0</v>
      </c>
      <c r="C4" s="1" t="s">
        <v>12</v>
      </c>
      <c r="D4" s="2" t="s">
        <v>13</v>
      </c>
      <c r="E4" s="5">
        <v>8187596189.2041225</v>
      </c>
      <c r="F4" s="4">
        <v>97.353521946875958</v>
      </c>
      <c r="G4" s="3">
        <v>222573289.48401824</v>
      </c>
      <c r="H4" s="4">
        <v>2.6464780531240413</v>
      </c>
      <c r="I4" s="5">
        <v>8410169478.6881409</v>
      </c>
      <c r="J4" s="9">
        <v>2.7184204538261862E-2</v>
      </c>
      <c r="K4">
        <v>44738.3496450288</v>
      </c>
    </row>
    <row r="5" spans="1:11" x14ac:dyDescent="0.35">
      <c r="A5" s="2" t="s">
        <v>25</v>
      </c>
      <c r="B5" s="2">
        <v>0</v>
      </c>
      <c r="C5" s="1" t="s">
        <v>12</v>
      </c>
      <c r="D5" s="2" t="s">
        <v>14</v>
      </c>
      <c r="E5" s="5">
        <v>6057445861.0846367</v>
      </c>
      <c r="F5" s="4">
        <v>99.218651027314181</v>
      </c>
      <c r="G5" s="3">
        <v>47702514.110533111</v>
      </c>
      <c r="H5" s="4">
        <v>0.78134897268583026</v>
      </c>
      <c r="I5" s="5">
        <v>6105148375.1951694</v>
      </c>
      <c r="J5" s="9">
        <v>7.8750211235056045E-3</v>
      </c>
      <c r="K5">
        <v>6471.6475526432105</v>
      </c>
    </row>
    <row r="6" spans="1:11" x14ac:dyDescent="0.35">
      <c r="A6" s="2" t="s">
        <v>26</v>
      </c>
      <c r="B6" s="2">
        <v>4</v>
      </c>
      <c r="C6" s="1" t="s">
        <v>9</v>
      </c>
      <c r="D6" s="2" t="s">
        <v>15</v>
      </c>
      <c r="E6" s="5">
        <v>18361048509.655872</v>
      </c>
      <c r="F6" s="4">
        <v>99.137606909916059</v>
      </c>
      <c r="G6" s="3">
        <v>159721843.75816134</v>
      </c>
      <c r="H6" s="4">
        <v>0.86239309008396059</v>
      </c>
      <c r="I6" s="5">
        <v>18520770353.414032</v>
      </c>
      <c r="J6" s="9">
        <v>8.6989500449369973E-3</v>
      </c>
      <c r="K6">
        <v>12045.387915396783</v>
      </c>
    </row>
    <row r="7" spans="1:11" x14ac:dyDescent="0.35">
      <c r="A7" s="2" t="s">
        <v>27</v>
      </c>
      <c r="B7" s="2">
        <v>4</v>
      </c>
      <c r="C7" s="1" t="s">
        <v>12</v>
      </c>
      <c r="D7" s="2" t="s">
        <v>16</v>
      </c>
      <c r="E7" s="5">
        <v>13707065636.923084</v>
      </c>
      <c r="F7" s="4">
        <v>99.469457880876263</v>
      </c>
      <c r="G7" s="3">
        <v>73109633.90079397</v>
      </c>
      <c r="H7" s="4">
        <v>0.53054211912373561</v>
      </c>
      <c r="I7" s="5">
        <v>13780175270.823877</v>
      </c>
      <c r="J7" s="9">
        <v>5.3337188160722466E-3</v>
      </c>
      <c r="K7">
        <v>7438.9126883184745</v>
      </c>
    </row>
    <row r="8" spans="1:11" x14ac:dyDescent="0.35">
      <c r="A8" s="2" t="s">
        <v>28</v>
      </c>
      <c r="B8" s="2">
        <v>4</v>
      </c>
      <c r="C8" s="2"/>
      <c r="D8" s="2" t="s">
        <v>17</v>
      </c>
      <c r="E8" s="5">
        <v>11550032983.749216</v>
      </c>
      <c r="F8" s="4">
        <v>99.162170049290495</v>
      </c>
      <c r="G8" s="3">
        <v>97587250.87054725</v>
      </c>
      <c r="H8" s="4">
        <v>0.8378299507095236</v>
      </c>
      <c r="I8" s="5">
        <v>11647620234.619762</v>
      </c>
      <c r="J8" s="9">
        <v>8.4490885011195699E-3</v>
      </c>
      <c r="K8">
        <v>10022.311889755289</v>
      </c>
    </row>
    <row r="9" spans="1:11" x14ac:dyDescent="0.35">
      <c r="A9" s="2" t="s">
        <v>29</v>
      </c>
      <c r="B9" s="2">
        <v>8</v>
      </c>
      <c r="C9" s="1" t="s">
        <v>9</v>
      </c>
      <c r="D9" s="2" t="s">
        <v>18</v>
      </c>
      <c r="E9" s="5">
        <v>15705918487.761772</v>
      </c>
      <c r="F9" s="4">
        <v>98.657898406202861</v>
      </c>
      <c r="G9" s="3">
        <v>213656874.66486579</v>
      </c>
      <c r="H9" s="4">
        <v>1.3421015937971468</v>
      </c>
      <c r="I9" s="5">
        <v>15919575362.426638</v>
      </c>
      <c r="J9" s="9">
        <v>1.3603589935306849E-2</v>
      </c>
      <c r="K9">
        <v>18040.773002184058</v>
      </c>
    </row>
    <row r="10" spans="1:11" x14ac:dyDescent="0.35">
      <c r="A10" s="2" t="s">
        <v>30</v>
      </c>
      <c r="B10" s="2">
        <v>8</v>
      </c>
      <c r="C10" s="1" t="s">
        <v>12</v>
      </c>
      <c r="D10" s="2" t="s">
        <v>19</v>
      </c>
      <c r="E10" s="5">
        <v>7543647189.2211246</v>
      </c>
      <c r="F10" s="4">
        <v>97.649290206946176</v>
      </c>
      <c r="G10" s="3">
        <v>181598097.49219918</v>
      </c>
      <c r="H10" s="4">
        <v>2.3507097930538254</v>
      </c>
      <c r="I10" s="5">
        <v>7725245286.7133236</v>
      </c>
      <c r="J10" s="9">
        <v>2.4072983921050665E-2</v>
      </c>
      <c r="K10">
        <v>31582.277824730292</v>
      </c>
    </row>
    <row r="11" spans="1:11" x14ac:dyDescent="0.35">
      <c r="A11" s="2" t="s">
        <v>31</v>
      </c>
      <c r="B11" s="2">
        <v>10</v>
      </c>
      <c r="C11" s="1" t="s">
        <v>9</v>
      </c>
      <c r="D11" s="2" t="s">
        <v>20</v>
      </c>
      <c r="E11" s="5">
        <v>20346382248.669464</v>
      </c>
      <c r="F11" s="4">
        <v>98.445525311432917</v>
      </c>
      <c r="G11" s="3">
        <v>321273476.97533351</v>
      </c>
      <c r="H11" s="4">
        <v>1.5544746885670813</v>
      </c>
      <c r="I11" s="5">
        <v>20667655725.644798</v>
      </c>
      <c r="J11" s="9">
        <v>1.5790201572387294E-2</v>
      </c>
      <c r="K11">
        <v>25986.692305697121</v>
      </c>
    </row>
    <row r="12" spans="1:11" x14ac:dyDescent="0.35">
      <c r="A12" s="2" t="s">
        <v>32</v>
      </c>
      <c r="B12" s="2">
        <v>10</v>
      </c>
      <c r="C12" s="1" t="s">
        <v>12</v>
      </c>
      <c r="D12" s="2" t="s">
        <v>21</v>
      </c>
      <c r="E12" s="5">
        <v>12553382674.229094</v>
      </c>
      <c r="F12" s="4">
        <v>98.735525648288984</v>
      </c>
      <c r="G12" s="3">
        <v>160767163.73921612</v>
      </c>
      <c r="H12" s="4">
        <v>1.2644743517110093</v>
      </c>
      <c r="I12" s="5">
        <v>12714149837.968309</v>
      </c>
      <c r="J12" s="9">
        <v>1.2806680709993482E-2</v>
      </c>
      <c r="K12">
        <v>15136.725707486688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topLeftCell="E1" workbookViewId="0">
      <selection activeCell="L2" sqref="L2"/>
    </sheetView>
  </sheetViews>
  <sheetFormatPr defaultRowHeight="14.5" x14ac:dyDescent="0.35"/>
  <cols>
    <col min="1" max="1" width="21.54296875" bestFit="1" customWidth="1"/>
    <col min="2" max="2" width="10" bestFit="1" customWidth="1"/>
    <col min="3" max="3" width="9.90625" bestFit="1" customWidth="1"/>
    <col min="4" max="4" width="17.36328125" bestFit="1" customWidth="1"/>
    <col min="5" max="5" width="23.90625" bestFit="1" customWidth="1"/>
    <col min="6" max="6" width="15.54296875" bestFit="1" customWidth="1"/>
    <col min="7" max="7" width="26.90625" bestFit="1" customWidth="1"/>
    <col min="8" max="8" width="15.90625" bestFit="1" customWidth="1"/>
    <col min="9" max="9" width="18.1796875" bestFit="1" customWidth="1"/>
    <col min="10" max="10" width="11.26953125" bestFit="1" customWidth="1"/>
    <col min="11" max="12" width="22.1796875" bestFit="1" customWidth="1"/>
  </cols>
  <sheetData>
    <row r="1" spans="1:12" x14ac:dyDescent="0.35">
      <c r="A1" s="17" t="s">
        <v>34</v>
      </c>
      <c r="B1" s="17" t="s">
        <v>35</v>
      </c>
      <c r="C1" s="17" t="s">
        <v>2</v>
      </c>
      <c r="D1" s="17" t="s">
        <v>36</v>
      </c>
      <c r="E1" s="17" t="s">
        <v>37</v>
      </c>
      <c r="F1" s="17" t="s">
        <v>38</v>
      </c>
      <c r="G1" s="17" t="s">
        <v>39</v>
      </c>
      <c r="H1" s="17" t="s">
        <v>40</v>
      </c>
      <c r="I1" s="19" t="s">
        <v>3</v>
      </c>
      <c r="J1" s="12" t="s">
        <v>55</v>
      </c>
      <c r="K1" s="19" t="s">
        <v>7</v>
      </c>
      <c r="L1" s="11" t="s">
        <v>54</v>
      </c>
    </row>
    <row r="2" spans="1:12" x14ac:dyDescent="0.35">
      <c r="A2" s="14" t="s">
        <v>41</v>
      </c>
      <c r="B2" s="14" t="s">
        <v>42</v>
      </c>
      <c r="C2" s="14" t="s">
        <v>10</v>
      </c>
      <c r="D2" s="14">
        <v>500</v>
      </c>
      <c r="E2" s="14">
        <v>100</v>
      </c>
      <c r="F2" s="14">
        <v>39.1</v>
      </c>
      <c r="G2" s="18">
        <v>5</v>
      </c>
      <c r="H2" s="14">
        <v>7.82</v>
      </c>
      <c r="I2" s="16">
        <v>8159771170.61059</v>
      </c>
      <c r="J2" s="15">
        <v>324677922.17892319</v>
      </c>
      <c r="K2" s="16">
        <v>8484449092.7895136</v>
      </c>
      <c r="L2">
        <f>+J2/(F2*E2)</f>
        <v>83037.831759315392</v>
      </c>
    </row>
    <row r="3" spans="1:12" x14ac:dyDescent="0.35">
      <c r="A3" s="14" t="s">
        <v>43</v>
      </c>
      <c r="B3" s="14" t="s">
        <v>42</v>
      </c>
      <c r="C3" s="14" t="s">
        <v>11</v>
      </c>
      <c r="D3" s="14">
        <v>500</v>
      </c>
      <c r="E3" s="14">
        <v>100</v>
      </c>
      <c r="F3" s="14">
        <v>74.75</v>
      </c>
      <c r="G3" s="18">
        <v>13</v>
      </c>
      <c r="H3" s="14">
        <v>5.75</v>
      </c>
      <c r="I3" s="16">
        <v>14726830691.989765</v>
      </c>
      <c r="J3" s="15">
        <v>352597400.21583068</v>
      </c>
      <c r="K3" s="16">
        <v>15079428092.205595</v>
      </c>
      <c r="L3" s="13">
        <f>+J3/(F3*E3)</f>
        <v>47170.220764659622</v>
      </c>
    </row>
    <row r="4" spans="1:12" x14ac:dyDescent="0.35">
      <c r="A4" s="14" t="s">
        <v>44</v>
      </c>
      <c r="B4" s="14" t="s">
        <v>45</v>
      </c>
      <c r="C4" s="14" t="s">
        <v>13</v>
      </c>
      <c r="D4" s="14">
        <v>500</v>
      </c>
      <c r="E4" s="14">
        <v>100</v>
      </c>
      <c r="F4" s="14">
        <v>49.749999999999993</v>
      </c>
      <c r="G4" s="18">
        <v>5</v>
      </c>
      <c r="H4" s="14">
        <v>9.9499999999999993</v>
      </c>
      <c r="I4" s="16">
        <v>8187596189.2041225</v>
      </c>
      <c r="J4" s="15">
        <v>222573289.48401824</v>
      </c>
      <c r="K4" s="16">
        <v>8410169478.6881409</v>
      </c>
      <c r="L4" s="13">
        <f>+J4/(F4*E4)</f>
        <v>44738.3496450288</v>
      </c>
    </row>
    <row r="5" spans="1:12" x14ac:dyDescent="0.35">
      <c r="A5" s="14" t="s">
        <v>46</v>
      </c>
      <c r="B5" s="14" t="s">
        <v>45</v>
      </c>
      <c r="C5" s="14" t="s">
        <v>14</v>
      </c>
      <c r="D5" s="14">
        <v>500</v>
      </c>
      <c r="E5" s="14">
        <v>100</v>
      </c>
      <c r="F5" s="14">
        <v>73.710000000000008</v>
      </c>
      <c r="G5" s="18">
        <v>13</v>
      </c>
      <c r="H5" s="14">
        <v>5.67</v>
      </c>
      <c r="I5" s="16">
        <v>6057445861.0846367</v>
      </c>
      <c r="J5" s="15">
        <v>47702514.110533111</v>
      </c>
      <c r="K5" s="16">
        <v>6105148375.1951694</v>
      </c>
      <c r="L5" s="13">
        <f>+J5/(F5*E5)</f>
        <v>6471.6475526432105</v>
      </c>
    </row>
    <row r="6" spans="1:12" x14ac:dyDescent="0.35">
      <c r="A6" s="14" t="s">
        <v>47</v>
      </c>
      <c r="B6" s="14" t="s">
        <v>42</v>
      </c>
      <c r="C6" s="14" t="s">
        <v>15</v>
      </c>
      <c r="D6" s="14">
        <v>500</v>
      </c>
      <c r="E6" s="14">
        <v>100</v>
      </c>
      <c r="F6" s="14">
        <v>132.6</v>
      </c>
      <c r="G6" s="18">
        <v>13</v>
      </c>
      <c r="H6" s="14">
        <v>10.199999999999999</v>
      </c>
      <c r="I6" s="16">
        <v>18361048509.655872</v>
      </c>
      <c r="J6" s="15">
        <v>159721843.75816134</v>
      </c>
      <c r="K6" s="16">
        <v>18520770353.414032</v>
      </c>
      <c r="L6" s="13">
        <f>+J6/(F6*E6)</f>
        <v>12045.387915396783</v>
      </c>
    </row>
    <row r="7" spans="1:12" x14ac:dyDescent="0.35">
      <c r="A7" s="14" t="s">
        <v>48</v>
      </c>
      <c r="B7" s="14" t="s">
        <v>45</v>
      </c>
      <c r="C7" s="14" t="s">
        <v>16</v>
      </c>
      <c r="D7" s="14">
        <v>500</v>
      </c>
      <c r="E7" s="14">
        <v>100</v>
      </c>
      <c r="F7" s="14">
        <v>98.28</v>
      </c>
      <c r="G7" s="18">
        <v>13</v>
      </c>
      <c r="H7" s="14">
        <v>7.56</v>
      </c>
      <c r="I7" s="16">
        <v>13707065636.923084</v>
      </c>
      <c r="J7" s="15">
        <v>73109633.90079397</v>
      </c>
      <c r="K7" s="16">
        <v>13780175270.823877</v>
      </c>
      <c r="L7" s="13">
        <f>+J7/(F7*E7)</f>
        <v>7438.9126883184745</v>
      </c>
    </row>
    <row r="8" spans="1:12" x14ac:dyDescent="0.35">
      <c r="A8" s="14" t="s">
        <v>49</v>
      </c>
      <c r="B8" s="14"/>
      <c r="C8" s="14" t="s">
        <v>17</v>
      </c>
      <c r="D8" s="14">
        <v>500</v>
      </c>
      <c r="E8" s="14">
        <v>100</v>
      </c>
      <c r="F8" s="14">
        <v>97.37</v>
      </c>
      <c r="G8" s="18">
        <v>13</v>
      </c>
      <c r="H8" s="14">
        <v>7.49</v>
      </c>
      <c r="I8" s="16">
        <v>11550032983.749216</v>
      </c>
      <c r="J8" s="15">
        <v>97587250.87054725</v>
      </c>
      <c r="K8" s="16">
        <v>11647620234.619762</v>
      </c>
      <c r="L8" s="13">
        <f>+J8/(F8*E8)</f>
        <v>10022.311889755289</v>
      </c>
    </row>
    <row r="9" spans="1:12" x14ac:dyDescent="0.35">
      <c r="A9" s="14" t="s">
        <v>50</v>
      </c>
      <c r="B9" s="14" t="s">
        <v>42</v>
      </c>
      <c r="C9" s="14" t="s">
        <v>18</v>
      </c>
      <c r="D9" s="14">
        <v>500</v>
      </c>
      <c r="E9" s="14">
        <v>100</v>
      </c>
      <c r="F9" s="14">
        <v>118.42999999999999</v>
      </c>
      <c r="G9" s="18">
        <v>13</v>
      </c>
      <c r="H9" s="14">
        <v>9.11</v>
      </c>
      <c r="I9" s="16">
        <v>15705918487.761772</v>
      </c>
      <c r="J9" s="15">
        <v>213656874.66486579</v>
      </c>
      <c r="K9" s="16">
        <v>15919575362.426638</v>
      </c>
      <c r="L9" s="13">
        <f>+J9/(F9*E9)</f>
        <v>18040.773002184058</v>
      </c>
    </row>
    <row r="10" spans="1:12" x14ac:dyDescent="0.35">
      <c r="A10" s="14" t="s">
        <v>51</v>
      </c>
      <c r="B10" s="14" t="s">
        <v>45</v>
      </c>
      <c r="C10" s="14" t="s">
        <v>19</v>
      </c>
      <c r="D10" s="14">
        <v>500</v>
      </c>
      <c r="E10" s="14">
        <v>100</v>
      </c>
      <c r="F10" s="14">
        <v>57.5</v>
      </c>
      <c r="G10" s="18">
        <v>5</v>
      </c>
      <c r="H10" s="14">
        <v>11.5</v>
      </c>
      <c r="I10" s="16">
        <v>7543647189.2211246</v>
      </c>
      <c r="J10" s="15">
        <v>181598097.49219918</v>
      </c>
      <c r="K10" s="16">
        <v>7725245286.7133236</v>
      </c>
      <c r="L10" s="13">
        <f>+J10/(F10*E10)</f>
        <v>31582.277824730292</v>
      </c>
    </row>
    <row r="11" spans="1:12" x14ac:dyDescent="0.35">
      <c r="A11" s="14" t="s">
        <v>52</v>
      </c>
      <c r="B11" s="14" t="s">
        <v>42</v>
      </c>
      <c r="C11" s="14" t="s">
        <v>20</v>
      </c>
      <c r="D11" s="14">
        <v>500</v>
      </c>
      <c r="E11" s="14">
        <v>100</v>
      </c>
      <c r="F11" s="14">
        <v>123.63</v>
      </c>
      <c r="G11" s="18">
        <v>13</v>
      </c>
      <c r="H11" s="14">
        <v>9.51</v>
      </c>
      <c r="I11" s="16">
        <v>20346382248.669464</v>
      </c>
      <c r="J11" s="15">
        <v>321273476.97533351</v>
      </c>
      <c r="K11" s="16">
        <v>20667655725.644798</v>
      </c>
      <c r="L11" s="13">
        <f>+J11/(F11*E11)</f>
        <v>25986.692305697121</v>
      </c>
    </row>
    <row r="12" spans="1:12" x14ac:dyDescent="0.35">
      <c r="A12" s="14" t="s">
        <v>53</v>
      </c>
      <c r="B12" s="14" t="s">
        <v>45</v>
      </c>
      <c r="C12" s="14" t="s">
        <v>21</v>
      </c>
      <c r="D12" s="14">
        <v>500</v>
      </c>
      <c r="E12" s="14">
        <v>100</v>
      </c>
      <c r="F12" s="14">
        <v>106.21</v>
      </c>
      <c r="G12" s="18">
        <v>13</v>
      </c>
      <c r="H12" s="14">
        <v>8.17</v>
      </c>
      <c r="I12" s="16">
        <v>12553382674.229094</v>
      </c>
      <c r="J12" s="15">
        <v>160767163.73921612</v>
      </c>
      <c r="K12" s="16">
        <v>12714149837.968309</v>
      </c>
      <c r="L12" s="13">
        <f>+J12/(F12*E12)</f>
        <v>15136.725707486688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2024-05-17T14:55:18Z</dcterms:modified>
</cp:coreProperties>
</file>