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1" l="1"/>
  <c r="F31" i="1"/>
  <c r="I33" i="1" l="1"/>
  <c r="I31" i="1"/>
  <c r="I17" i="1"/>
  <c r="I15" i="1"/>
  <c r="E33" i="1" l="1"/>
  <c r="G33" i="1"/>
  <c r="D33" i="1"/>
  <c r="E31" i="1"/>
  <c r="G31" i="1"/>
  <c r="D31" i="1"/>
  <c r="D17" i="1"/>
  <c r="E17" i="1"/>
  <c r="H17" i="1"/>
  <c r="C17" i="1"/>
  <c r="D15" i="1"/>
  <c r="E15" i="1"/>
  <c r="H15" i="1"/>
  <c r="C15" i="1"/>
  <c r="F17" i="1" l="1"/>
  <c r="F15" i="1"/>
</calcChain>
</file>

<file path=xl/sharedStrings.xml><?xml version="1.0" encoding="utf-8"?>
<sst xmlns="http://schemas.openxmlformats.org/spreadsheetml/2006/main" count="75" uniqueCount="33">
  <si>
    <t>Time</t>
  </si>
  <si>
    <t>Sample_ID</t>
  </si>
  <si>
    <t>Urin 1.5</t>
  </si>
  <si>
    <t>Urin 1.6</t>
  </si>
  <si>
    <t>Urin 2.5</t>
  </si>
  <si>
    <t>Urin 2.6</t>
  </si>
  <si>
    <t>Urin 3.5</t>
  </si>
  <si>
    <t>Urin 3.6</t>
  </si>
  <si>
    <t>Faeces 1.5</t>
  </si>
  <si>
    <t>Faeces 1.6</t>
  </si>
  <si>
    <t>Faeces 2.5</t>
  </si>
  <si>
    <t>Faeces 2.6</t>
  </si>
  <si>
    <t>Faeces 3.5</t>
  </si>
  <si>
    <t>Faeces 3.6</t>
  </si>
  <si>
    <t>pH</t>
  </si>
  <si>
    <t>DM_%</t>
  </si>
  <si>
    <t>VS_%</t>
  </si>
  <si>
    <t>TN_g/Kg</t>
  </si>
  <si>
    <t>NH4-N_g/Kg</t>
  </si>
  <si>
    <t>SO4_mg/L</t>
  </si>
  <si>
    <t>Faeces 3.5_1</t>
  </si>
  <si>
    <t>Faeces 3.6_1</t>
  </si>
  <si>
    <t>Faeces 3.5_2</t>
  </si>
  <si>
    <t>Faeces 3.6_2</t>
  </si>
  <si>
    <t>Urin 3.5_1</t>
  </si>
  <si>
    <t>Urin 3.5_2</t>
  </si>
  <si>
    <t>Urin 3.6_1</t>
  </si>
  <si>
    <t>Urin 3.6_2</t>
  </si>
  <si>
    <t>Type</t>
  </si>
  <si>
    <t>Urine</t>
  </si>
  <si>
    <t>Faeces</t>
  </si>
  <si>
    <t>Section</t>
  </si>
  <si>
    <t>VFA_mg/L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</si>
</sst>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2" borderId="0" xfId="0" applyNumberFormat="1" applyFill="1"/>
    <xf numFmtId="2" fontId="0" fillId="3" borderId="0" xfId="0" applyNumberFormat="1" applyFill="1"/>
    <xf numFmtId="0" fontId="0" fillId="3" borderId="0" xfId="0" applyFill="1"/>
    <xf numFmtId="2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topLeftCell="A13" workbookViewId="0">
      <selection activeCell="M31" sqref="M31"/>
    </sheetView>
  </sheetViews>
  <sheetFormatPr defaultRowHeight="14.5" x14ac:dyDescent="0.35"/>
  <cols>
    <col min="1" max="1" width="10.08984375" bestFit="1" customWidth="1"/>
    <col min="2" max="2" width="11.36328125" bestFit="1" customWidth="1"/>
    <col min="7" max="7" width="11.81640625" bestFit="1" customWidth="1"/>
    <col min="8" max="8" width="9.26953125" bestFit="1" customWidth="1"/>
    <col min="9" max="9" width="9.26953125" customWidth="1"/>
  </cols>
  <sheetData>
    <row r="1" spans="1:14" x14ac:dyDescent="0.35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32</v>
      </c>
      <c r="J1" t="s">
        <v>28</v>
      </c>
      <c r="K1" t="s">
        <v>31</v>
      </c>
    </row>
    <row r="2" spans="1:14" x14ac:dyDescent="0.35">
      <c r="A2" s="6">
        <v>44690</v>
      </c>
      <c r="B2" s="1" t="s">
        <v>2</v>
      </c>
      <c r="C2" s="2">
        <v>7.06</v>
      </c>
      <c r="D2">
        <v>1.4900591766358724</v>
      </c>
      <c r="E2">
        <v>53.571428571428555</v>
      </c>
      <c r="F2">
        <v>2.8618642820773927</v>
      </c>
      <c r="H2">
        <v>1.6350000000000002</v>
      </c>
      <c r="I2">
        <v>101.6</v>
      </c>
      <c r="J2" t="s">
        <v>29</v>
      </c>
      <c r="K2">
        <v>5</v>
      </c>
    </row>
    <row r="3" spans="1:14" x14ac:dyDescent="0.35">
      <c r="A3" s="6">
        <v>44767</v>
      </c>
      <c r="B3" s="1" t="s">
        <v>2</v>
      </c>
      <c r="C3" s="2">
        <v>7.06</v>
      </c>
      <c r="D3">
        <v>1.4900591766358724</v>
      </c>
      <c r="E3">
        <v>53.571428571428555</v>
      </c>
      <c r="F3">
        <v>2.8618642820773927</v>
      </c>
      <c r="H3">
        <v>1.6350000000000002</v>
      </c>
      <c r="I3">
        <v>101.6</v>
      </c>
      <c r="J3" t="s">
        <v>29</v>
      </c>
      <c r="K3">
        <v>5</v>
      </c>
    </row>
    <row r="4" spans="1:14" x14ac:dyDescent="0.35">
      <c r="A4" s="6">
        <v>44686</v>
      </c>
      <c r="B4" s="1" t="s">
        <v>3</v>
      </c>
      <c r="C4" s="2">
        <v>7.08</v>
      </c>
      <c r="D4">
        <v>1.7138439776970011</v>
      </c>
      <c r="E4">
        <v>50.959692898272614</v>
      </c>
      <c r="F4">
        <v>3.378703640529531</v>
      </c>
      <c r="H4">
        <v>1.27</v>
      </c>
      <c r="I4">
        <v>68.33</v>
      </c>
      <c r="J4" t="s">
        <v>29</v>
      </c>
      <c r="K4">
        <v>6</v>
      </c>
    </row>
    <row r="5" spans="1:14" x14ac:dyDescent="0.35">
      <c r="A5" s="6">
        <v>44761</v>
      </c>
      <c r="B5" s="1" t="s">
        <v>3</v>
      </c>
      <c r="C5" s="2">
        <v>7.08</v>
      </c>
      <c r="D5">
        <v>1.7138439776970011</v>
      </c>
      <c r="E5">
        <v>50.959692898272614</v>
      </c>
      <c r="F5">
        <v>3.378703640529531</v>
      </c>
      <c r="H5">
        <v>1.27</v>
      </c>
      <c r="I5">
        <v>68.33</v>
      </c>
      <c r="J5" t="s">
        <v>29</v>
      </c>
      <c r="K5">
        <v>6</v>
      </c>
    </row>
    <row r="6" spans="1:14" x14ac:dyDescent="0.35">
      <c r="A6" s="6">
        <v>44784</v>
      </c>
      <c r="B6" s="1" t="s">
        <v>4</v>
      </c>
      <c r="C6" s="2">
        <v>6.66</v>
      </c>
      <c r="D6">
        <v>1.8250428017376925</v>
      </c>
      <c r="E6">
        <v>54.43522654754306</v>
      </c>
      <c r="F6">
        <v>3.4078556681270533</v>
      </c>
      <c r="H6">
        <v>1.47</v>
      </c>
      <c r="I6">
        <v>57.28</v>
      </c>
      <c r="J6" t="s">
        <v>29</v>
      </c>
      <c r="K6">
        <v>5</v>
      </c>
    </row>
    <row r="7" spans="1:14" x14ac:dyDescent="0.35">
      <c r="A7" s="6">
        <v>44881</v>
      </c>
      <c r="B7" s="1" t="s">
        <v>4</v>
      </c>
      <c r="C7" s="2">
        <v>6.66</v>
      </c>
      <c r="D7">
        <v>1.8250428017376925</v>
      </c>
      <c r="E7">
        <v>54.43522654754306</v>
      </c>
      <c r="F7">
        <v>3.4078556681270533</v>
      </c>
      <c r="H7">
        <v>1.47</v>
      </c>
      <c r="I7">
        <v>57.28</v>
      </c>
      <c r="J7" t="s">
        <v>29</v>
      </c>
      <c r="K7">
        <v>5</v>
      </c>
    </row>
    <row r="8" spans="1:14" x14ac:dyDescent="0.35">
      <c r="A8" s="6">
        <v>44781</v>
      </c>
      <c r="B8" s="1" t="s">
        <v>5</v>
      </c>
      <c r="C8" s="2">
        <v>7.1</v>
      </c>
      <c r="D8">
        <v>1.5764361428145419</v>
      </c>
      <c r="E8">
        <v>51.418744625967307</v>
      </c>
      <c r="F8">
        <v>3.3199577932960893</v>
      </c>
      <c r="H8">
        <v>1.28</v>
      </c>
      <c r="I8">
        <v>71.37</v>
      </c>
      <c r="J8" t="s">
        <v>29</v>
      </c>
      <c r="K8">
        <v>6</v>
      </c>
    </row>
    <row r="9" spans="1:14" x14ac:dyDescent="0.35">
      <c r="A9" s="6">
        <v>44865</v>
      </c>
      <c r="B9" s="1" t="s">
        <v>5</v>
      </c>
      <c r="C9" s="2">
        <v>7.1</v>
      </c>
      <c r="D9">
        <v>1.5764361428145419</v>
      </c>
      <c r="E9">
        <v>51.418744625967307</v>
      </c>
      <c r="F9">
        <v>3.3199577932960893</v>
      </c>
      <c r="H9">
        <v>1.28</v>
      </c>
      <c r="I9">
        <v>71.37</v>
      </c>
      <c r="J9" t="s">
        <v>29</v>
      </c>
      <c r="K9">
        <v>6</v>
      </c>
    </row>
    <row r="10" spans="1:14" x14ac:dyDescent="0.35">
      <c r="A10" s="6">
        <v>44967</v>
      </c>
      <c r="B10" s="1" t="s">
        <v>24</v>
      </c>
      <c r="C10" s="2">
        <v>8.64</v>
      </c>
      <c r="D10">
        <v>1.1018655214065236</v>
      </c>
      <c r="E10">
        <v>45.67600487210715</v>
      </c>
      <c r="F10">
        <v>2.8202114593781338</v>
      </c>
      <c r="H10">
        <v>1.1399999999999999</v>
      </c>
      <c r="I10">
        <v>311.95999999999998</v>
      </c>
      <c r="J10" t="s">
        <v>29</v>
      </c>
      <c r="K10">
        <v>51</v>
      </c>
    </row>
    <row r="11" spans="1:14" x14ac:dyDescent="0.35">
      <c r="A11" s="6">
        <v>44967</v>
      </c>
      <c r="B11" s="1" t="s">
        <v>25</v>
      </c>
      <c r="C11" s="2">
        <v>8.64</v>
      </c>
      <c r="D11">
        <v>1.0872902169463781</v>
      </c>
      <c r="E11">
        <v>44.000000000000043</v>
      </c>
      <c r="F11">
        <v>2.7417739757207888</v>
      </c>
      <c r="H11">
        <v>1.19</v>
      </c>
      <c r="I11">
        <v>292.01</v>
      </c>
      <c r="J11" t="s">
        <v>29</v>
      </c>
      <c r="K11">
        <v>52</v>
      </c>
    </row>
    <row r="12" spans="1:14" x14ac:dyDescent="0.35">
      <c r="A12" s="6">
        <v>44966</v>
      </c>
      <c r="B12" s="1" t="s">
        <v>26</v>
      </c>
      <c r="C12" s="2">
        <v>8</v>
      </c>
      <c r="D12">
        <v>1.3955665234225418</v>
      </c>
      <c r="E12">
        <v>48.373983739837392</v>
      </c>
      <c r="F12">
        <v>3.4675011820925548</v>
      </c>
      <c r="H12">
        <v>1.59</v>
      </c>
      <c r="I12">
        <v>336.31</v>
      </c>
      <c r="J12" t="s">
        <v>29</v>
      </c>
      <c r="K12">
        <v>61</v>
      </c>
    </row>
    <row r="13" spans="1:14" x14ac:dyDescent="0.35">
      <c r="A13" s="6">
        <v>44966</v>
      </c>
      <c r="B13" s="1" t="s">
        <v>27</v>
      </c>
      <c r="C13" s="2">
        <v>8.01</v>
      </c>
      <c r="D13">
        <v>1.4026848937844218</v>
      </c>
      <c r="E13">
        <v>48.641542506573153</v>
      </c>
      <c r="F13">
        <v>3.5016649570490141</v>
      </c>
      <c r="H13">
        <v>1.48</v>
      </c>
      <c r="I13">
        <v>321.53000000000003</v>
      </c>
      <c r="J13" t="s">
        <v>29</v>
      </c>
      <c r="K13">
        <v>62</v>
      </c>
    </row>
    <row r="14" spans="1:14" x14ac:dyDescent="0.35">
      <c r="A14" s="6">
        <v>44886</v>
      </c>
      <c r="B14" s="1" t="s">
        <v>6</v>
      </c>
      <c r="C14" s="2">
        <v>8.64</v>
      </c>
      <c r="D14">
        <v>1.0945778691764509</v>
      </c>
      <c r="E14">
        <v>44.8380024360536</v>
      </c>
      <c r="F14" s="5">
        <v>2.7809927175494611</v>
      </c>
      <c r="H14">
        <v>1.165</v>
      </c>
      <c r="I14">
        <v>301.98500000000001</v>
      </c>
      <c r="J14" t="s">
        <v>29</v>
      </c>
      <c r="K14">
        <v>5</v>
      </c>
      <c r="N14">
        <v>8.6450064837905227</v>
      </c>
    </row>
    <row r="15" spans="1:14" x14ac:dyDescent="0.35">
      <c r="A15" s="6">
        <v>44967</v>
      </c>
      <c r="B15" s="1" t="s">
        <v>6</v>
      </c>
      <c r="C15" s="2">
        <f>+AVERAGE(C10:C11)</f>
        <v>8.64</v>
      </c>
      <c r="D15" s="2">
        <f t="shared" ref="D15:I15" si="0">+AVERAGE(D10:D11)</f>
        <v>1.0945778691764509</v>
      </c>
      <c r="E15" s="2">
        <f t="shared" si="0"/>
        <v>44.8380024360536</v>
      </c>
      <c r="F15" s="2">
        <f>+AVERAGE(F10:F11)</f>
        <v>2.7809927175494611</v>
      </c>
      <c r="G15" s="2"/>
      <c r="H15" s="2">
        <f t="shared" si="0"/>
        <v>1.165</v>
      </c>
      <c r="I15" s="2">
        <f t="shared" si="0"/>
        <v>301.98500000000001</v>
      </c>
      <c r="J15" t="s">
        <v>29</v>
      </c>
      <c r="K15">
        <v>5</v>
      </c>
      <c r="N15">
        <v>8.430896823204419</v>
      </c>
    </row>
    <row r="16" spans="1:14" x14ac:dyDescent="0.35">
      <c r="A16" s="6">
        <v>44872</v>
      </c>
      <c r="B16" s="1" t="s">
        <v>7</v>
      </c>
      <c r="C16" s="2">
        <v>8.004999999999999</v>
      </c>
      <c r="D16" s="2">
        <v>1.3991257086034818</v>
      </c>
      <c r="E16" s="2">
        <v>48.507763123205272</v>
      </c>
      <c r="F16" s="2">
        <v>3.4845830695707845</v>
      </c>
      <c r="G16" s="2"/>
      <c r="H16" s="2">
        <v>1.5350000000000001</v>
      </c>
      <c r="I16" s="2">
        <v>328.92</v>
      </c>
      <c r="J16" t="s">
        <v>29</v>
      </c>
      <c r="K16">
        <v>6</v>
      </c>
      <c r="N16">
        <v>8.4591960118168377</v>
      </c>
    </row>
    <row r="17" spans="1:14" x14ac:dyDescent="0.35">
      <c r="A17" s="6">
        <v>44966</v>
      </c>
      <c r="B17" s="1" t="s">
        <v>7</v>
      </c>
      <c r="C17" s="2">
        <f>+AVERAGE(C12:C13)</f>
        <v>8.004999999999999</v>
      </c>
      <c r="D17" s="2">
        <f t="shared" ref="D17:I17" si="1">+AVERAGE(D12:D13)</f>
        <v>1.3991257086034818</v>
      </c>
      <c r="E17" s="2">
        <f t="shared" si="1"/>
        <v>48.507763123205272</v>
      </c>
      <c r="F17" s="2">
        <f>+AVERAGE(F12:F13)</f>
        <v>3.4845830695707845</v>
      </c>
      <c r="G17" s="2"/>
      <c r="H17" s="2">
        <f t="shared" si="1"/>
        <v>1.5350000000000001</v>
      </c>
      <c r="I17" s="2">
        <f t="shared" si="1"/>
        <v>328.92</v>
      </c>
      <c r="J17" t="s">
        <v>29</v>
      </c>
      <c r="K17">
        <v>6</v>
      </c>
      <c r="N17">
        <v>8.0067348906560625</v>
      </c>
    </row>
    <row r="18" spans="1:14" x14ac:dyDescent="0.35">
      <c r="A18" s="6">
        <v>44690</v>
      </c>
      <c r="B18" s="1" t="s">
        <v>8</v>
      </c>
      <c r="C18" s="3"/>
      <c r="D18">
        <v>19.25637278779022</v>
      </c>
      <c r="E18">
        <v>87.457841483979763</v>
      </c>
      <c r="F18">
        <v>7.376916831683169</v>
      </c>
      <c r="G18">
        <v>1.1175898931000972</v>
      </c>
      <c r="I18">
        <v>11192.419999999998</v>
      </c>
      <c r="J18" t="s">
        <v>30</v>
      </c>
      <c r="K18">
        <v>5</v>
      </c>
    </row>
    <row r="19" spans="1:14" x14ac:dyDescent="0.35">
      <c r="A19" s="6">
        <v>44767</v>
      </c>
      <c r="B19" s="1" t="s">
        <v>8</v>
      </c>
      <c r="C19" s="3"/>
      <c r="D19">
        <v>19.25637278779022</v>
      </c>
      <c r="E19">
        <v>87.457841483979763</v>
      </c>
      <c r="F19">
        <v>7.376916831683169</v>
      </c>
      <c r="G19">
        <v>1.1175898931000972</v>
      </c>
      <c r="I19">
        <v>11192.419999999998</v>
      </c>
      <c r="J19" t="s">
        <v>30</v>
      </c>
      <c r="K19">
        <v>5</v>
      </c>
    </row>
    <row r="20" spans="1:14" x14ac:dyDescent="0.35">
      <c r="A20" s="6">
        <v>44686</v>
      </c>
      <c r="B20" s="1" t="s">
        <v>9</v>
      </c>
      <c r="C20" s="4"/>
      <c r="D20">
        <v>19.13741711782955</v>
      </c>
      <c r="E20">
        <v>88.334392879847428</v>
      </c>
      <c r="F20">
        <v>6.3119802352941177</v>
      </c>
      <c r="G20">
        <v>1.1293634496919918</v>
      </c>
      <c r="I20">
        <v>11549.470000000001</v>
      </c>
      <c r="J20" t="s">
        <v>30</v>
      </c>
      <c r="K20">
        <v>6</v>
      </c>
    </row>
    <row r="21" spans="1:14" x14ac:dyDescent="0.35">
      <c r="A21" s="6">
        <v>44761</v>
      </c>
      <c r="B21" s="1" t="s">
        <v>9</v>
      </c>
      <c r="C21" s="4"/>
      <c r="D21">
        <v>19.13741711782955</v>
      </c>
      <c r="E21">
        <v>88.334392879847428</v>
      </c>
      <c r="F21">
        <v>6.3119802352941177</v>
      </c>
      <c r="G21">
        <v>1.1293634496919918</v>
      </c>
      <c r="I21">
        <v>11549.470000000001</v>
      </c>
      <c r="J21" t="s">
        <v>30</v>
      </c>
      <c r="K21">
        <v>6</v>
      </c>
    </row>
    <row r="22" spans="1:14" x14ac:dyDescent="0.35">
      <c r="A22" s="6">
        <v>44784</v>
      </c>
      <c r="B22" s="1" t="s">
        <v>10</v>
      </c>
      <c r="C22" s="4"/>
      <c r="D22">
        <v>22.806064497012198</v>
      </c>
      <c r="E22">
        <v>87.02901689042875</v>
      </c>
      <c r="F22">
        <v>8.1783470194239776</v>
      </c>
      <c r="G22">
        <v>1.1150758251561106</v>
      </c>
      <c r="I22">
        <v>11529.400000000001</v>
      </c>
      <c r="J22" t="s">
        <v>30</v>
      </c>
      <c r="K22">
        <v>5</v>
      </c>
    </row>
    <row r="23" spans="1:14" x14ac:dyDescent="0.35">
      <c r="A23" s="6">
        <v>44881</v>
      </c>
      <c r="B23" s="1" t="s">
        <v>10</v>
      </c>
      <c r="C23" s="4"/>
      <c r="D23">
        <v>22.806064497012198</v>
      </c>
      <c r="E23">
        <v>87.02901689042875</v>
      </c>
      <c r="F23">
        <v>8.1783470194239776</v>
      </c>
      <c r="G23">
        <v>1.1150758251561106</v>
      </c>
      <c r="I23">
        <v>11529.400000000001</v>
      </c>
      <c r="J23" t="s">
        <v>30</v>
      </c>
      <c r="K23">
        <v>5</v>
      </c>
    </row>
    <row r="24" spans="1:14" x14ac:dyDescent="0.35">
      <c r="A24" s="6">
        <v>44781</v>
      </c>
      <c r="B24" s="1" t="s">
        <v>11</v>
      </c>
      <c r="C24" s="4"/>
      <c r="D24">
        <v>23.190342554234043</v>
      </c>
      <c r="E24">
        <v>87.168651555897043</v>
      </c>
      <c r="F24">
        <v>7.8490982576228996</v>
      </c>
      <c r="G24">
        <v>1.1296660117878194</v>
      </c>
      <c r="I24">
        <v>11579.400000000001</v>
      </c>
      <c r="J24" t="s">
        <v>30</v>
      </c>
      <c r="K24">
        <v>6</v>
      </c>
    </row>
    <row r="25" spans="1:14" x14ac:dyDescent="0.35">
      <c r="A25" s="6">
        <v>44865</v>
      </c>
      <c r="B25" s="1" t="s">
        <v>11</v>
      </c>
      <c r="C25" s="4"/>
      <c r="D25">
        <v>23.190342554234043</v>
      </c>
      <c r="E25">
        <v>87.168651555897043</v>
      </c>
      <c r="F25">
        <v>7.8490982576228996</v>
      </c>
      <c r="G25">
        <v>1.1296660117878194</v>
      </c>
      <c r="I25">
        <v>11579.400000000001</v>
      </c>
      <c r="J25" t="s">
        <v>30</v>
      </c>
      <c r="K25">
        <v>6</v>
      </c>
    </row>
    <row r="26" spans="1:14" x14ac:dyDescent="0.35">
      <c r="A26" s="6">
        <v>44967</v>
      </c>
      <c r="B26" s="1" t="s">
        <v>20</v>
      </c>
      <c r="C26" s="4"/>
      <c r="D26">
        <v>22.916129032258066</v>
      </c>
      <c r="E26">
        <v>88.457207207207219</v>
      </c>
      <c r="F26">
        <v>8.6450064837905227</v>
      </c>
      <c r="G26">
        <v>1.1263467189030363</v>
      </c>
      <c r="I26">
        <v>13202.070000000003</v>
      </c>
      <c r="J26" t="s">
        <v>30</v>
      </c>
      <c r="K26">
        <v>51</v>
      </c>
    </row>
    <row r="27" spans="1:14" x14ac:dyDescent="0.35">
      <c r="A27" s="6">
        <v>44967</v>
      </c>
      <c r="B27" s="1" t="s">
        <v>22</v>
      </c>
      <c r="C27" s="4"/>
      <c r="D27">
        <v>22.330491270807954</v>
      </c>
      <c r="E27">
        <v>88.818181818181813</v>
      </c>
      <c r="F27">
        <v>8.430896823204419</v>
      </c>
      <c r="G27">
        <v>1.1938872970391596</v>
      </c>
      <c r="I27">
        <v>13462.800000000001</v>
      </c>
      <c r="J27" t="s">
        <v>30</v>
      </c>
      <c r="K27">
        <v>52</v>
      </c>
    </row>
    <row r="28" spans="1:14" x14ac:dyDescent="0.35">
      <c r="A28" s="6">
        <v>44966</v>
      </c>
      <c r="B28" s="1" t="s">
        <v>21</v>
      </c>
      <c r="C28" s="4"/>
      <c r="D28">
        <v>23.394875823840078</v>
      </c>
      <c r="E28">
        <v>86.175373134328353</v>
      </c>
      <c r="F28">
        <v>8.4591960118168377</v>
      </c>
      <c r="G28">
        <v>0.9918845807033364</v>
      </c>
      <c r="I28">
        <v>11379.660000000002</v>
      </c>
      <c r="J28" t="s">
        <v>30</v>
      </c>
      <c r="K28">
        <v>61</v>
      </c>
    </row>
    <row r="29" spans="1:14" x14ac:dyDescent="0.35">
      <c r="A29" s="6">
        <v>44966</v>
      </c>
      <c r="B29" s="1" t="s">
        <v>23</v>
      </c>
      <c r="C29" s="4"/>
      <c r="D29">
        <v>23.317367043602786</v>
      </c>
      <c r="E29">
        <v>86.149936467598479</v>
      </c>
      <c r="F29">
        <v>8.0067348906560625</v>
      </c>
      <c r="G29">
        <v>1.2593283582089552</v>
      </c>
      <c r="I29">
        <v>11472.100000000002</v>
      </c>
      <c r="J29" t="s">
        <v>30</v>
      </c>
      <c r="K29">
        <v>62</v>
      </c>
    </row>
    <row r="30" spans="1:14" x14ac:dyDescent="0.35">
      <c r="A30" s="6">
        <v>44886</v>
      </c>
      <c r="B30" s="1" t="s">
        <v>12</v>
      </c>
      <c r="C30" s="4"/>
      <c r="D30">
        <v>22.623310151533012</v>
      </c>
      <c r="E30">
        <v>88.637694512694509</v>
      </c>
      <c r="F30" s="2">
        <v>8.5379516534974709</v>
      </c>
      <c r="G30">
        <v>1.1601170079710981</v>
      </c>
      <c r="I30">
        <v>13332.435000000001</v>
      </c>
      <c r="J30" t="s">
        <v>30</v>
      </c>
      <c r="K30">
        <v>5</v>
      </c>
    </row>
    <row r="31" spans="1:14" x14ac:dyDescent="0.35">
      <c r="A31" s="6">
        <v>44967</v>
      </c>
      <c r="B31" s="1" t="s">
        <v>12</v>
      </c>
      <c r="D31" s="2">
        <f t="shared" ref="D31:I31" si="2">+AVERAGE(D26:D27)</f>
        <v>22.623310151533012</v>
      </c>
      <c r="E31" s="2">
        <f t="shared" si="2"/>
        <v>88.637694512694509</v>
      </c>
      <c r="F31" s="2">
        <f>+AVERAGE(F26:F27)</f>
        <v>8.5379516534974709</v>
      </c>
      <c r="G31" s="2">
        <f t="shared" si="2"/>
        <v>1.1601170079710981</v>
      </c>
      <c r="I31" s="2">
        <f t="shared" si="2"/>
        <v>13332.435000000001</v>
      </c>
      <c r="J31" t="s">
        <v>30</v>
      </c>
      <c r="K31">
        <v>5</v>
      </c>
    </row>
    <row r="32" spans="1:14" x14ac:dyDescent="0.35">
      <c r="A32" s="6">
        <v>44872</v>
      </c>
      <c r="B32" s="1" t="s">
        <v>13</v>
      </c>
      <c r="D32" s="2">
        <v>23.356121433721434</v>
      </c>
      <c r="E32" s="2">
        <v>86.162654800963423</v>
      </c>
      <c r="F32" s="2">
        <v>8.2329654512364492</v>
      </c>
      <c r="G32" s="2">
        <v>1.1256064694561458</v>
      </c>
      <c r="I32">
        <v>11425.880000000001</v>
      </c>
      <c r="J32" t="s">
        <v>30</v>
      </c>
      <c r="K32">
        <v>6</v>
      </c>
    </row>
    <row r="33" spans="1:11" x14ac:dyDescent="0.35">
      <c r="A33" s="6">
        <v>44966</v>
      </c>
      <c r="B33" s="1" t="s">
        <v>13</v>
      </c>
      <c r="D33" s="2">
        <f t="shared" ref="D33:I33" si="3">+AVERAGE(D28:D29)</f>
        <v>23.356121433721434</v>
      </c>
      <c r="E33" s="2">
        <f t="shared" si="3"/>
        <v>86.162654800963423</v>
      </c>
      <c r="F33" s="2">
        <f>+AVERAGE(F28:F29)</f>
        <v>8.2329654512364492</v>
      </c>
      <c r="G33" s="2">
        <f t="shared" si="3"/>
        <v>1.1256064694561458</v>
      </c>
      <c r="I33" s="2">
        <f t="shared" si="3"/>
        <v>11425.880000000001</v>
      </c>
      <c r="J33" t="s">
        <v>30</v>
      </c>
      <c r="K3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2024-02-05T15:45:02Z</dcterms:modified>
</cp:coreProperties>
</file>