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ABM model\"/>
    </mc:Choice>
  </mc:AlternateContent>
  <bookViews>
    <workbookView xWindow="44870" yWindow="3260" windowWidth="21600" windowHeight="11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5" i="1" l="1"/>
  <c r="G176" i="1"/>
  <c r="G177" i="1"/>
  <c r="G178" i="1"/>
  <c r="G179" i="1"/>
  <c r="G181" i="1"/>
  <c r="I175" i="1"/>
  <c r="I176" i="1"/>
  <c r="I177" i="1"/>
  <c r="I178" i="1"/>
  <c r="I179" i="1"/>
  <c r="M175" i="1"/>
  <c r="M176" i="1"/>
  <c r="M177" i="1"/>
  <c r="M178" i="1"/>
  <c r="M179" i="1"/>
  <c r="G180" i="1"/>
  <c r="G107" i="1" l="1"/>
  <c r="F240" i="1" l="1"/>
  <c r="F241" i="1" s="1"/>
  <c r="E241" i="1" s="1"/>
  <c r="F98" i="1"/>
  <c r="F102" i="1" s="1"/>
  <c r="E102" i="1" s="1"/>
  <c r="G241" i="1" l="1"/>
  <c r="F106" i="1"/>
  <c r="E106" i="1"/>
  <c r="G130" i="1"/>
  <c r="L130" i="1"/>
  <c r="G183" i="1" l="1"/>
  <c r="G184" i="1"/>
  <c r="G136" i="1"/>
  <c r="G45" i="1"/>
  <c r="G46" i="1"/>
  <c r="G47" i="1"/>
  <c r="F9" i="1" l="1"/>
  <c r="F83" i="1" l="1"/>
  <c r="G283" i="1" l="1"/>
  <c r="G281" i="1"/>
  <c r="G282" i="1"/>
  <c r="M278" i="1"/>
  <c r="M279" i="1"/>
  <c r="I278" i="1"/>
  <c r="I279" i="1"/>
  <c r="G277" i="1"/>
  <c r="G278" i="1"/>
  <c r="G279" i="1"/>
  <c r="G280" i="1"/>
  <c r="G276" i="1"/>
  <c r="M270" i="1"/>
  <c r="M271" i="1"/>
  <c r="M273" i="1"/>
  <c r="I270" i="1"/>
  <c r="I271" i="1"/>
  <c r="I273" i="1"/>
  <c r="G270" i="1"/>
  <c r="G271" i="1"/>
  <c r="G272" i="1"/>
  <c r="G273" i="1"/>
  <c r="F267" i="1"/>
  <c r="F268" i="1" s="1"/>
  <c r="G267" i="1"/>
  <c r="M249" i="1"/>
  <c r="M250" i="1"/>
  <c r="M251" i="1"/>
  <c r="M252" i="1"/>
  <c r="M254" i="1"/>
  <c r="M255" i="1"/>
  <c r="M256" i="1"/>
  <c r="M257" i="1"/>
  <c r="M262" i="1"/>
  <c r="M263" i="1"/>
  <c r="M265" i="1"/>
  <c r="M234" i="1"/>
  <c r="M236" i="1"/>
  <c r="M237" i="1"/>
  <c r="M238" i="1"/>
  <c r="M239" i="1"/>
  <c r="M242" i="1"/>
  <c r="M243" i="1"/>
  <c r="M245" i="1"/>
  <c r="M248" i="1"/>
  <c r="I265" i="1"/>
  <c r="G265" i="1"/>
  <c r="G266" i="1"/>
  <c r="I254" i="1"/>
  <c r="I255" i="1"/>
  <c r="I256" i="1"/>
  <c r="I257" i="1"/>
  <c r="I262" i="1"/>
  <c r="I263" i="1"/>
  <c r="I248" i="1"/>
  <c r="I249" i="1"/>
  <c r="I250" i="1"/>
  <c r="I251" i="1"/>
  <c r="I252" i="1"/>
  <c r="G261" i="1"/>
  <c r="G262" i="1"/>
  <c r="G263" i="1"/>
  <c r="G264" i="1"/>
  <c r="G260" i="1"/>
  <c r="F258" i="1"/>
  <c r="G254" i="1"/>
  <c r="G255" i="1"/>
  <c r="G256" i="1"/>
  <c r="G257" i="1"/>
  <c r="G258" i="1"/>
  <c r="G248" i="1"/>
  <c r="G249" i="1"/>
  <c r="G250" i="1"/>
  <c r="G251" i="1"/>
  <c r="G252" i="1"/>
  <c r="G253" i="1"/>
  <c r="F259" i="1" l="1"/>
  <c r="E259" i="1" s="1"/>
  <c r="G247" i="1"/>
  <c r="I245" i="1"/>
  <c r="G246" i="1"/>
  <c r="G245" i="1"/>
  <c r="G140" i="1"/>
  <c r="G139" i="1"/>
  <c r="L137" i="1"/>
  <c r="G137" i="1"/>
  <c r="L135" i="1"/>
  <c r="G135" i="1"/>
  <c r="M134" i="1"/>
  <c r="L134" i="1"/>
  <c r="I134" i="1"/>
  <c r="G134" i="1"/>
  <c r="L132" i="1"/>
  <c r="G132" i="1"/>
  <c r="L131" i="1"/>
  <c r="G131" i="1"/>
  <c r="L129" i="1"/>
  <c r="G129" i="1"/>
  <c r="F129" i="1"/>
  <c r="F130" i="1" s="1"/>
  <c r="M128" i="1"/>
  <c r="L128" i="1"/>
  <c r="I128" i="1"/>
  <c r="G128" i="1"/>
  <c r="L126" i="1"/>
  <c r="G126" i="1"/>
  <c r="L125" i="1"/>
  <c r="G125" i="1"/>
  <c r="L124" i="1"/>
  <c r="G124" i="1"/>
  <c r="M123" i="1"/>
  <c r="L123" i="1"/>
  <c r="I123" i="1"/>
  <c r="G123" i="1"/>
  <c r="M121" i="1"/>
  <c r="L121" i="1"/>
  <c r="I121" i="1"/>
  <c r="G121" i="1"/>
  <c r="L119" i="1"/>
  <c r="G119" i="1"/>
  <c r="L118" i="1"/>
  <c r="L117" i="1"/>
  <c r="G117" i="1"/>
  <c r="F117" i="1"/>
  <c r="F118" i="1" s="1"/>
  <c r="M116" i="1"/>
  <c r="L116" i="1"/>
  <c r="I116" i="1"/>
  <c r="G116" i="1"/>
  <c r="L114" i="1"/>
  <c r="G114" i="1"/>
  <c r="L113" i="1"/>
  <c r="G113" i="1"/>
  <c r="L112" i="1"/>
  <c r="G112" i="1"/>
  <c r="M111" i="1"/>
  <c r="L111" i="1"/>
  <c r="I111" i="1"/>
  <c r="G111" i="1"/>
  <c r="F172" i="1"/>
  <c r="F173" i="1" s="1"/>
  <c r="G259" i="1" l="1"/>
  <c r="E118" i="1"/>
  <c r="G118" i="1" s="1"/>
  <c r="E173" i="1"/>
  <c r="L145" i="1"/>
  <c r="M3" i="1" l="1"/>
  <c r="M4" i="1"/>
  <c r="M8" i="1"/>
  <c r="L5" i="1"/>
  <c r="I242" i="1" l="1"/>
  <c r="I243" i="1"/>
  <c r="G242" i="1"/>
  <c r="G243" i="1"/>
  <c r="G244" i="1"/>
  <c r="G269" i="1"/>
  <c r="G275" i="1"/>
  <c r="I185" i="1"/>
  <c r="I187" i="1"/>
  <c r="I190" i="1"/>
  <c r="I191" i="1"/>
  <c r="I192" i="1"/>
  <c r="I195" i="1"/>
  <c r="I197" i="1"/>
  <c r="I201" i="1"/>
  <c r="I203" i="1"/>
  <c r="I205" i="1"/>
  <c r="I206" i="1"/>
  <c r="I207" i="1"/>
  <c r="I209" i="1"/>
  <c r="I210" i="1"/>
  <c r="I216" i="1"/>
  <c r="I218" i="1"/>
  <c r="I219" i="1"/>
  <c r="I222" i="1"/>
  <c r="I236" i="1"/>
  <c r="I238" i="1"/>
  <c r="G185" i="1"/>
  <c r="G186" i="1"/>
  <c r="G187" i="1"/>
  <c r="G190" i="1"/>
  <c r="G191" i="1"/>
  <c r="G192" i="1"/>
  <c r="G193" i="1"/>
  <c r="G195" i="1"/>
  <c r="G197" i="1"/>
  <c r="G199" i="1"/>
  <c r="G201" i="1"/>
  <c r="G203" i="1"/>
  <c r="G205" i="1"/>
  <c r="G206" i="1"/>
  <c r="G207" i="1"/>
  <c r="G209" i="1"/>
  <c r="G210" i="1"/>
  <c r="G211" i="1"/>
  <c r="G213" i="1"/>
  <c r="G214" i="1"/>
  <c r="G216" i="1"/>
  <c r="G218" i="1"/>
  <c r="G219" i="1"/>
  <c r="G220" i="1"/>
  <c r="G222" i="1"/>
  <c r="G223" i="1"/>
  <c r="G225" i="1"/>
  <c r="G226" i="1"/>
  <c r="G228" i="1"/>
  <c r="G230" i="1"/>
  <c r="G231" i="1"/>
  <c r="G233" i="1"/>
  <c r="G235" i="1"/>
  <c r="G236" i="1"/>
  <c r="G238" i="1"/>
  <c r="G240" i="1"/>
  <c r="M203" i="1"/>
  <c r="M205" i="1"/>
  <c r="M206" i="1"/>
  <c r="M207" i="1"/>
  <c r="M209" i="1"/>
  <c r="M210" i="1"/>
  <c r="M216" i="1"/>
  <c r="M218" i="1"/>
  <c r="M219" i="1"/>
  <c r="M222" i="1"/>
  <c r="M201" i="1"/>
  <c r="M191" i="1"/>
  <c r="M192" i="1"/>
  <c r="M195" i="1"/>
  <c r="M197" i="1"/>
  <c r="M185" i="1"/>
  <c r="M187" i="1"/>
  <c r="M190" i="1"/>
  <c r="L206" i="1"/>
  <c r="L207" i="1"/>
  <c r="L209" i="1"/>
  <c r="L210" i="1"/>
  <c r="L211" i="1"/>
  <c r="L212" i="1"/>
  <c r="L213" i="1"/>
  <c r="L214" i="1"/>
  <c r="L216" i="1"/>
  <c r="L218" i="1"/>
  <c r="L219" i="1"/>
  <c r="L220" i="1"/>
  <c r="L222" i="1"/>
  <c r="L223" i="1"/>
  <c r="L225" i="1"/>
  <c r="L226" i="1"/>
  <c r="L227" i="1"/>
  <c r="L228" i="1"/>
  <c r="L230" i="1"/>
  <c r="L231" i="1"/>
  <c r="L232" i="1"/>
  <c r="L233" i="1"/>
  <c r="L235" i="1"/>
  <c r="L236" i="1"/>
  <c r="L238" i="1"/>
  <c r="L240" i="1"/>
  <c r="L191" i="1"/>
  <c r="L192" i="1"/>
  <c r="L193" i="1"/>
  <c r="L195" i="1"/>
  <c r="L197" i="1"/>
  <c r="L199" i="1"/>
  <c r="L201" i="1"/>
  <c r="L203" i="1"/>
  <c r="L205" i="1"/>
  <c r="L190" i="1"/>
  <c r="F230" i="1"/>
  <c r="F231" i="1" s="1"/>
  <c r="E232" i="1" s="1"/>
  <c r="G232" i="1" s="1"/>
  <c r="F225" i="1"/>
  <c r="F226" i="1" s="1"/>
  <c r="E227" i="1" s="1"/>
  <c r="G227" i="1" s="1"/>
  <c r="F211" i="1"/>
  <c r="F212" i="1" s="1"/>
  <c r="E212" i="1" s="1"/>
  <c r="M155" i="1"/>
  <c r="M157" i="1"/>
  <c r="M158" i="1"/>
  <c r="M160" i="1"/>
  <c r="M161" i="1"/>
  <c r="M162" i="1"/>
  <c r="M170" i="1"/>
  <c r="M141" i="1"/>
  <c r="M143" i="1"/>
  <c r="M145" i="1"/>
  <c r="M149" i="1"/>
  <c r="M152" i="1"/>
  <c r="M153" i="1"/>
  <c r="G141" i="1"/>
  <c r="G142" i="1"/>
  <c r="G143" i="1"/>
  <c r="G145" i="1"/>
  <c r="G146" i="1"/>
  <c r="G147" i="1"/>
  <c r="G148" i="1"/>
  <c r="G149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9" i="1"/>
  <c r="G170" i="1"/>
  <c r="G171" i="1"/>
  <c r="G172" i="1"/>
  <c r="G173" i="1"/>
  <c r="G174" i="1"/>
  <c r="G182" i="1"/>
  <c r="I141" i="1"/>
  <c r="I143" i="1"/>
  <c r="I145" i="1"/>
  <c r="I149" i="1"/>
  <c r="I152" i="1"/>
  <c r="I153" i="1"/>
  <c r="I155" i="1"/>
  <c r="I157" i="1"/>
  <c r="I158" i="1"/>
  <c r="I160" i="1"/>
  <c r="I161" i="1"/>
  <c r="I162" i="1"/>
  <c r="I170" i="1"/>
  <c r="L171" i="1"/>
  <c r="L172" i="1"/>
  <c r="L173" i="1"/>
  <c r="L174" i="1"/>
  <c r="L176" i="1"/>
  <c r="L178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9" i="1"/>
  <c r="L170" i="1"/>
  <c r="L146" i="1"/>
  <c r="L147" i="1"/>
  <c r="L148" i="1"/>
  <c r="L149" i="1"/>
  <c r="L150" i="1"/>
  <c r="L151" i="1"/>
  <c r="L152" i="1"/>
  <c r="L153" i="1"/>
  <c r="F148" i="1"/>
  <c r="G212" i="1" l="1"/>
  <c r="F149" i="1"/>
  <c r="E150" i="1" s="1"/>
  <c r="M100" i="1"/>
  <c r="M104" i="1"/>
  <c r="I100" i="1"/>
  <c r="I104" i="1"/>
  <c r="G106" i="1"/>
  <c r="G108" i="1"/>
  <c r="G109" i="1"/>
  <c r="G92" i="1"/>
  <c r="G94" i="1"/>
  <c r="G95" i="1"/>
  <c r="G96" i="1"/>
  <c r="G98" i="1"/>
  <c r="G100" i="1"/>
  <c r="G102" i="1"/>
  <c r="G104" i="1"/>
  <c r="G150" i="1" l="1"/>
  <c r="M47" i="1"/>
  <c r="M50" i="1"/>
  <c r="M52" i="1"/>
  <c r="M55" i="1"/>
  <c r="M57" i="1"/>
  <c r="M58" i="1"/>
  <c r="M60" i="1"/>
  <c r="M63" i="1"/>
  <c r="M65" i="1"/>
  <c r="M70" i="1"/>
  <c r="M72" i="1"/>
  <c r="M74" i="1"/>
  <c r="M77" i="1"/>
  <c r="M79" i="1"/>
  <c r="M88" i="1"/>
  <c r="M94" i="1"/>
  <c r="M96" i="1"/>
  <c r="L95" i="1"/>
  <c r="L96" i="1"/>
  <c r="L86" i="1"/>
  <c r="L88" i="1"/>
  <c r="L89" i="1"/>
  <c r="L90" i="1"/>
  <c r="L91" i="1"/>
  <c r="L92" i="1"/>
  <c r="L94" i="1"/>
  <c r="L68" i="1"/>
  <c r="L70" i="1"/>
  <c r="L72" i="1"/>
  <c r="L74" i="1"/>
  <c r="L75" i="1"/>
  <c r="L77" i="1"/>
  <c r="L79" i="1"/>
  <c r="L81" i="1"/>
  <c r="L82" i="1"/>
  <c r="L83" i="1"/>
  <c r="L84" i="1"/>
  <c r="L85" i="1"/>
  <c r="L53" i="1"/>
  <c r="L55" i="1"/>
  <c r="L57" i="1"/>
  <c r="L58" i="1"/>
  <c r="L60" i="1"/>
  <c r="L61" i="1"/>
  <c r="L63" i="1"/>
  <c r="L65" i="1"/>
  <c r="L66" i="1"/>
  <c r="L67" i="1"/>
  <c r="L52" i="1"/>
  <c r="I47" i="1"/>
  <c r="I50" i="1"/>
  <c r="I52" i="1"/>
  <c r="I55" i="1"/>
  <c r="I57" i="1"/>
  <c r="I58" i="1"/>
  <c r="I60" i="1"/>
  <c r="I63" i="1"/>
  <c r="I65" i="1"/>
  <c r="I70" i="1"/>
  <c r="I72" i="1"/>
  <c r="I74" i="1"/>
  <c r="I77" i="1"/>
  <c r="I79" i="1"/>
  <c r="I88" i="1"/>
  <c r="I94" i="1"/>
  <c r="I96" i="1"/>
  <c r="G48" i="1"/>
  <c r="G50" i="1"/>
  <c r="G52" i="1"/>
  <c r="G53" i="1"/>
  <c r="G55" i="1"/>
  <c r="G57" i="1"/>
  <c r="G58" i="1"/>
  <c r="G60" i="1"/>
  <c r="G61" i="1"/>
  <c r="G63" i="1"/>
  <c r="G65" i="1"/>
  <c r="G66" i="1"/>
  <c r="G68" i="1"/>
  <c r="G70" i="1"/>
  <c r="G72" i="1"/>
  <c r="G74" i="1"/>
  <c r="G75" i="1"/>
  <c r="G77" i="1"/>
  <c r="G79" i="1"/>
  <c r="G81" i="1"/>
  <c r="G82" i="1"/>
  <c r="G83" i="1"/>
  <c r="G84" i="1"/>
  <c r="G86" i="1"/>
  <c r="G88" i="1"/>
  <c r="G89" i="1"/>
  <c r="G90" i="1"/>
  <c r="F89" i="1"/>
  <c r="F84" i="1"/>
  <c r="F66" i="1"/>
  <c r="F67" i="1" s="1"/>
  <c r="E67" i="1" s="1"/>
  <c r="G67" i="1" s="1"/>
  <c r="F90" i="1" l="1"/>
  <c r="E91" i="1" s="1"/>
  <c r="G91" i="1" s="1"/>
  <c r="E85" i="1"/>
  <c r="M15" i="1"/>
  <c r="M18" i="1"/>
  <c r="M21" i="1"/>
  <c r="M24" i="1"/>
  <c r="M31" i="1"/>
  <c r="M33" i="1"/>
  <c r="M37" i="1"/>
  <c r="M38" i="1"/>
  <c r="M40" i="1"/>
  <c r="M42" i="1"/>
  <c r="M43" i="1"/>
  <c r="I3" i="1"/>
  <c r="I8" i="1"/>
  <c r="I15" i="1"/>
  <c r="I18" i="1"/>
  <c r="I21" i="1"/>
  <c r="I24" i="1"/>
  <c r="I31" i="1"/>
  <c r="I33" i="1"/>
  <c r="I37" i="1"/>
  <c r="I38" i="1"/>
  <c r="I40" i="1"/>
  <c r="I42" i="1"/>
  <c r="I43" i="1"/>
  <c r="G3" i="1"/>
  <c r="G5" i="1"/>
  <c r="G6" i="1"/>
  <c r="G8" i="1"/>
  <c r="G9" i="1"/>
  <c r="G11" i="1"/>
  <c r="G15" i="1"/>
  <c r="G16" i="1"/>
  <c r="G18" i="1"/>
  <c r="G19" i="1"/>
  <c r="G21" i="1"/>
  <c r="G22" i="1"/>
  <c r="G24" i="1"/>
  <c r="G25" i="1"/>
  <c r="G26" i="1"/>
  <c r="G27" i="1"/>
  <c r="G29" i="1"/>
  <c r="G31" i="1"/>
  <c r="G33" i="1"/>
  <c r="G34" i="1"/>
  <c r="G35" i="1"/>
  <c r="G36" i="1"/>
  <c r="G37" i="1"/>
  <c r="G38" i="1"/>
  <c r="G40" i="1"/>
  <c r="G41" i="1"/>
  <c r="G42" i="1"/>
  <c r="G43" i="1"/>
  <c r="G44" i="1"/>
  <c r="G2" i="1"/>
  <c r="L6" i="1"/>
  <c r="L8" i="1"/>
  <c r="L9" i="1"/>
  <c r="L10" i="1"/>
  <c r="L11" i="1"/>
  <c r="L15" i="1"/>
  <c r="L16" i="1"/>
  <c r="L18" i="1"/>
  <c r="L19" i="1"/>
  <c r="L21" i="1"/>
  <c r="L22" i="1"/>
  <c r="L24" i="1"/>
  <c r="L25" i="1"/>
  <c r="L26" i="1"/>
  <c r="L27" i="1"/>
  <c r="L29" i="1"/>
  <c r="L31" i="1"/>
  <c r="L33" i="1"/>
  <c r="L34" i="1"/>
  <c r="L35" i="1"/>
  <c r="L36" i="1"/>
  <c r="L37" i="1"/>
  <c r="L38" i="1"/>
  <c r="L40" i="1"/>
  <c r="L41" i="1"/>
  <c r="F41" i="1"/>
  <c r="F43" i="1" s="1"/>
  <c r="F29" i="1"/>
  <c r="F31" i="1" s="1"/>
  <c r="F16" i="1"/>
  <c r="F18" i="1" s="1"/>
  <c r="F10" i="1"/>
  <c r="G85" i="1" l="1"/>
  <c r="E10" i="1"/>
  <c r="C2" i="1"/>
  <c r="D2" i="1"/>
  <c r="I130" i="1" l="1"/>
  <c r="M130" i="1" s="1"/>
  <c r="I180" i="1"/>
  <c r="M180" i="1" s="1"/>
  <c r="I241" i="1"/>
  <c r="M241" i="1" s="1"/>
  <c r="I109" i="1"/>
  <c r="M109" i="1" s="1"/>
  <c r="I106" i="1"/>
  <c r="M106" i="1" s="1"/>
  <c r="I102" i="1"/>
  <c r="M102" i="1" s="1"/>
  <c r="I183" i="1"/>
  <c r="M183" i="1" s="1"/>
  <c r="I184" i="1"/>
  <c r="M184" i="1" s="1"/>
  <c r="I45" i="1"/>
  <c r="M45" i="1" s="1"/>
  <c r="I46" i="1"/>
  <c r="M46" i="1" s="1"/>
  <c r="I136" i="1"/>
  <c r="M136" i="1" s="1"/>
  <c r="I6" i="1"/>
  <c r="M6" i="1" s="1"/>
  <c r="I277" i="1"/>
  <c r="M277" i="1" s="1"/>
  <c r="I281" i="1"/>
  <c r="M281" i="1" s="1"/>
  <c r="I280" i="1"/>
  <c r="M280" i="1" s="1"/>
  <c r="I283" i="1"/>
  <c r="M283" i="1" s="1"/>
  <c r="I282" i="1"/>
  <c r="M282" i="1" s="1"/>
  <c r="I267" i="1"/>
  <c r="M267" i="1" s="1"/>
  <c r="I266" i="1"/>
  <c r="M266" i="1" s="1"/>
  <c r="I272" i="1"/>
  <c r="M272" i="1" s="1"/>
  <c r="I276" i="1"/>
  <c r="M276" i="1" s="1"/>
  <c r="I258" i="1"/>
  <c r="M258" i="1" s="1"/>
  <c r="I253" i="1"/>
  <c r="M253" i="1" s="1"/>
  <c r="I264" i="1"/>
  <c r="M264" i="1" s="1"/>
  <c r="I261" i="1"/>
  <c r="M261" i="1" s="1"/>
  <c r="I260" i="1"/>
  <c r="M260" i="1" s="1"/>
  <c r="I259" i="1"/>
  <c r="M259" i="1" s="1"/>
  <c r="I246" i="1"/>
  <c r="M246" i="1" s="1"/>
  <c r="I247" i="1"/>
  <c r="M247" i="1" s="1"/>
  <c r="I117" i="1"/>
  <c r="M117" i="1" s="1"/>
  <c r="I131" i="1"/>
  <c r="M131" i="1" s="1"/>
  <c r="I125" i="1"/>
  <c r="M125" i="1" s="1"/>
  <c r="I135" i="1"/>
  <c r="M135" i="1" s="1"/>
  <c r="I124" i="1"/>
  <c r="M124" i="1" s="1"/>
  <c r="I132" i="1"/>
  <c r="M132" i="1" s="1"/>
  <c r="I113" i="1"/>
  <c r="M113" i="1" s="1"/>
  <c r="I119" i="1"/>
  <c r="M119" i="1" s="1"/>
  <c r="I129" i="1"/>
  <c r="M129" i="1" s="1"/>
  <c r="I126" i="1"/>
  <c r="M126" i="1" s="1"/>
  <c r="I140" i="1"/>
  <c r="M140" i="1" s="1"/>
  <c r="I137" i="1"/>
  <c r="M137" i="1" s="1"/>
  <c r="I139" i="1"/>
  <c r="M139" i="1" s="1"/>
  <c r="I114" i="1"/>
  <c r="M114" i="1" s="1"/>
  <c r="I112" i="1"/>
  <c r="M112" i="1" s="1"/>
  <c r="I118" i="1"/>
  <c r="M118" i="1" s="1"/>
  <c r="I173" i="1"/>
  <c r="M173" i="1" s="1"/>
  <c r="I244" i="1"/>
  <c r="M244" i="1" s="1"/>
  <c r="I269" i="1"/>
  <c r="M269" i="1" s="1"/>
  <c r="I275" i="1"/>
  <c r="M275" i="1" s="1"/>
  <c r="I235" i="1"/>
  <c r="M235" i="1" s="1"/>
  <c r="I199" i="1"/>
  <c r="M199" i="1" s="1"/>
  <c r="I232" i="1"/>
  <c r="M232" i="1" s="1"/>
  <c r="I233" i="1"/>
  <c r="M233" i="1" s="1"/>
  <c r="I213" i="1"/>
  <c r="M213" i="1" s="1"/>
  <c r="I211" i="1"/>
  <c r="M211" i="1" s="1"/>
  <c r="I225" i="1"/>
  <c r="M225" i="1" s="1"/>
  <c r="I220" i="1"/>
  <c r="M220" i="1" s="1"/>
  <c r="I231" i="1"/>
  <c r="M231" i="1" s="1"/>
  <c r="I186" i="1"/>
  <c r="M186" i="1" s="1"/>
  <c r="I223" i="1"/>
  <c r="M223" i="1" s="1"/>
  <c r="I228" i="1"/>
  <c r="M228" i="1" s="1"/>
  <c r="I227" i="1"/>
  <c r="M227" i="1" s="1"/>
  <c r="I226" i="1"/>
  <c r="M226" i="1" s="1"/>
  <c r="I230" i="1"/>
  <c r="M230" i="1" s="1"/>
  <c r="I240" i="1"/>
  <c r="M240" i="1" s="1"/>
  <c r="I193" i="1"/>
  <c r="M193" i="1" s="1"/>
  <c r="I214" i="1"/>
  <c r="M214" i="1" s="1"/>
  <c r="I212" i="1"/>
  <c r="M212" i="1" s="1"/>
  <c r="I181" i="1"/>
  <c r="M181" i="1" s="1"/>
  <c r="I154" i="1"/>
  <c r="M154" i="1" s="1"/>
  <c r="I171" i="1"/>
  <c r="M171" i="1" s="1"/>
  <c r="I174" i="1"/>
  <c r="M174" i="1" s="1"/>
  <c r="I164" i="1"/>
  <c r="M164" i="1" s="1"/>
  <c r="I159" i="1"/>
  <c r="M159" i="1" s="1"/>
  <c r="I165" i="1"/>
  <c r="M165" i="1" s="1"/>
  <c r="I148" i="1"/>
  <c r="M148" i="1" s="1"/>
  <c r="I163" i="1"/>
  <c r="M163" i="1" s="1"/>
  <c r="I169" i="1"/>
  <c r="M169" i="1" s="1"/>
  <c r="I146" i="1"/>
  <c r="M146" i="1" s="1"/>
  <c r="I166" i="1"/>
  <c r="M166" i="1" s="1"/>
  <c r="I156" i="1"/>
  <c r="M156" i="1" s="1"/>
  <c r="I172" i="1"/>
  <c r="M172" i="1" s="1"/>
  <c r="I151" i="1"/>
  <c r="M151" i="1" s="1"/>
  <c r="I147" i="1"/>
  <c r="M147" i="1" s="1"/>
  <c r="I142" i="1"/>
  <c r="M142" i="1" s="1"/>
  <c r="I182" i="1"/>
  <c r="M182" i="1" s="1"/>
  <c r="I150" i="1"/>
  <c r="M150" i="1" s="1"/>
  <c r="I108" i="1"/>
  <c r="M108" i="1" s="1"/>
  <c r="I85" i="1"/>
  <c r="M85" i="1" s="1"/>
  <c r="I2" i="1"/>
  <c r="M2" i="1" s="1"/>
  <c r="I66" i="1"/>
  <c r="M66" i="1" s="1"/>
  <c r="I67" i="1"/>
  <c r="M67" i="1" s="1"/>
  <c r="I82" i="1"/>
  <c r="M82" i="1" s="1"/>
  <c r="I90" i="1"/>
  <c r="M90" i="1" s="1"/>
  <c r="I89" i="1"/>
  <c r="M89" i="1" s="1"/>
  <c r="I75" i="1"/>
  <c r="M75" i="1" s="1"/>
  <c r="I68" i="1"/>
  <c r="M68" i="1" s="1"/>
  <c r="I48" i="1"/>
  <c r="M48" i="1" s="1"/>
  <c r="I86" i="1"/>
  <c r="M86" i="1" s="1"/>
  <c r="I81" i="1"/>
  <c r="M81" i="1" s="1"/>
  <c r="I61" i="1"/>
  <c r="M61" i="1" s="1"/>
  <c r="I98" i="1"/>
  <c r="M98" i="1" s="1"/>
  <c r="I91" i="1"/>
  <c r="M91" i="1" s="1"/>
  <c r="I95" i="1"/>
  <c r="M95" i="1" s="1"/>
  <c r="I53" i="1"/>
  <c r="M53" i="1" s="1"/>
  <c r="I84" i="1"/>
  <c r="M84" i="1" s="1"/>
  <c r="I92" i="1"/>
  <c r="M92" i="1" s="1"/>
  <c r="I83" i="1"/>
  <c r="M83" i="1" s="1"/>
  <c r="I11" i="1"/>
  <c r="M11" i="1" s="1"/>
  <c r="I26" i="1"/>
  <c r="M26" i="1" s="1"/>
  <c r="I25" i="1"/>
  <c r="M25" i="1" s="1"/>
  <c r="I27" i="1"/>
  <c r="M27" i="1" s="1"/>
  <c r="I34" i="1"/>
  <c r="M34" i="1" s="1"/>
  <c r="I36" i="1"/>
  <c r="M36" i="1" s="1"/>
  <c r="I44" i="1"/>
  <c r="M44" i="1" s="1"/>
  <c r="I22" i="1"/>
  <c r="M22" i="1" s="1"/>
  <c r="I41" i="1"/>
  <c r="M41" i="1" s="1"/>
  <c r="I29" i="1"/>
  <c r="M29" i="1" s="1"/>
  <c r="I19" i="1"/>
  <c r="M19" i="1" s="1"/>
  <c r="I9" i="1"/>
  <c r="M9" i="1" s="1"/>
  <c r="I5" i="1"/>
  <c r="M5" i="1" s="1"/>
  <c r="G10" i="1"/>
  <c r="I10" i="1" s="1"/>
  <c r="M10" i="1" s="1"/>
  <c r="I35" i="1"/>
  <c r="M35" i="1" s="1"/>
  <c r="I16" i="1"/>
  <c r="M16" i="1" s="1"/>
  <c r="E268" i="1" l="1"/>
  <c r="G268" i="1" l="1"/>
  <c r="I268" i="1" s="1"/>
  <c r="M268" i="1" s="1"/>
</calcChain>
</file>

<file path=xl/sharedStrings.xml><?xml version="1.0" encoding="utf-8"?>
<sst xmlns="http://schemas.openxmlformats.org/spreadsheetml/2006/main" count="227" uniqueCount="159">
  <si>
    <t>datetime</t>
  </si>
  <si>
    <t>temperature</t>
  </si>
  <si>
    <t>pigs</t>
  </si>
  <si>
    <t>CH4_g_d</t>
  </si>
  <si>
    <t>CH4_g_d_enteric</t>
  </si>
  <si>
    <t>feed consumption, kg_day</t>
  </si>
  <si>
    <t>slurry mass, kg</t>
  </si>
  <si>
    <t>average pig weight</t>
  </si>
  <si>
    <t>section number</t>
  </si>
  <si>
    <t>batch</t>
  </si>
  <si>
    <t>Comments</t>
  </si>
  <si>
    <t>Flag</t>
  </si>
  <si>
    <t>Pit depth (cm)</t>
  </si>
  <si>
    <t>Measured Height (cm)</t>
  </si>
  <si>
    <t>Slurry height (cm)</t>
  </si>
  <si>
    <t>Total pit area Start (m2)</t>
  </si>
  <si>
    <t>Total pit area by Per (m2)</t>
  </si>
  <si>
    <t>Slurry density (Kg/m3)</t>
  </si>
  <si>
    <t>Slurry volume (m3)</t>
  </si>
  <si>
    <t>*Jesper wrote 1 more pig than expected based on registrations. 269 based on Jesper, 268 based on registrations</t>
  </si>
  <si>
    <t>*Pablo (Section was wet but with a lot of pigs)</t>
  </si>
  <si>
    <t>*Last registration. Flow 0 on 25-07 15:00 but no data between 21 and 25. Assumption: all pigs went out on 25, no pig change between 21 and 25 (nothing registered)</t>
  </si>
  <si>
    <t>*Extrapollate this value</t>
  </si>
  <si>
    <t>Extrapolation</t>
  </si>
  <si>
    <t>https://www.hendersons.co.uk/pigequip/Pig_growth_rate.html</t>
  </si>
  <si>
    <t>Reference</t>
  </si>
  <si>
    <t>Feed_Total (Kg)</t>
  </si>
  <si>
    <t>Rate (Kg/day/pig)</t>
  </si>
  <si>
    <t>*I do not knnow when they flushed</t>
  </si>
  <si>
    <t>*Extrapolated from the two previous</t>
  </si>
  <si>
    <t>*Jens write 288 but not consistent with previous. I will asume is 281</t>
  </si>
  <si>
    <t>* Not writen by Jens but no event registered</t>
  </si>
  <si>
    <t>*No events but jens write 270 instead of 271</t>
  </si>
  <si>
    <t>*1 dead pig but later Jens write 270 instead of 269. I assume 269</t>
  </si>
  <si>
    <t>*I will assume 269 instead of 270 that Jens wrote</t>
  </si>
  <si>
    <t>*No events, Jens write "alle tatoveret"--&gt; pigs ready to leave</t>
  </si>
  <si>
    <t>*Jens on the phone "113 pigs to slaughter from section 5"</t>
  </si>
  <si>
    <t>*1 dead pig</t>
  </si>
  <si>
    <t>*Jens "~flyttede ned I steren"-&gt;24 pigs less??, otherwhise numbers do not fit</t>
  </si>
  <si>
    <t>*Not directly writen by Jens</t>
  </si>
  <si>
    <t>*Jesper wrote 34.5 but I will assume it is a typo and be 44.5</t>
  </si>
  <si>
    <t>*Jens/Jesper wrote 14/5 but that has to be a typo (It is a Saturday)</t>
  </si>
  <si>
    <t>*Jens/Jesper wrote 21/5 but that has to be a typo (It is a Saturday)</t>
  </si>
  <si>
    <t xml:space="preserve"> *Jens/Jesper "10 gris på ~gang~ fra 41/"--&gt;my guess, pigs remain the same so numbers fit</t>
  </si>
  <si>
    <t>*Jens/Jesper "Alle tatoveret"</t>
  </si>
  <si>
    <t>Jens "3g til stald 2" --&gt; 3 pigs to section 2?</t>
  </si>
  <si>
    <t>Jens "1g til stald 2" --&gt; 1 pigs to section 2?</t>
  </si>
  <si>
    <t>Jens "1gris til stald 2" --&gt; 1 pigs to section 2?</t>
  </si>
  <si>
    <t>Jens "+ cyclo 3 gris" --&gt; 3 new pigs?</t>
  </si>
  <si>
    <t>Jens "2 gris til stald 2" --&gt; 2 pigs to section 2?</t>
  </si>
  <si>
    <t>Jens "1gris til stald 7" --&gt; 1 pigs to section 7?</t>
  </si>
  <si>
    <t xml:space="preserve">Jens write "1 gris til stald 7" </t>
  </si>
  <si>
    <t xml:space="preserve">Jens write "13 grise af 45kg til stald 7" </t>
  </si>
  <si>
    <t>1 dead pig but Jens count 283 and not 287, I will assume the number is 287</t>
  </si>
  <si>
    <t>*Written by Jens</t>
  </si>
  <si>
    <t>Jens write 265 but should be 267, I will assume 267</t>
  </si>
  <si>
    <t>Jens write 265 but should be 266, I will assume 266</t>
  </si>
  <si>
    <t>Number writen by Jens but not registration of pig movement</t>
  </si>
  <si>
    <t>Jens "Alle tatoveret"--&gt; all ready to leave</t>
  </si>
  <si>
    <t>Jens write "stald tom"</t>
  </si>
  <si>
    <t>Jens "6 flyttet"--&gt;6 pigs less?</t>
  </si>
  <si>
    <t>No events registered anymore</t>
  </si>
  <si>
    <t>Flow 0 at 5:30--&gt;pigs out before</t>
  </si>
  <si>
    <t>*Assumption based on when the flow was on</t>
  </si>
  <si>
    <t>*Jens "1 gris til stald 3"/I will assume the remaining pig mass is 115</t>
  </si>
  <si>
    <t>*They register pigs arrived at 8:00, I will assume section full in 2 hours so it fits to when the flow is on</t>
  </si>
  <si>
    <t>*Assumption based on same criteria as when the section was full in Batch 1</t>
  </si>
  <si>
    <t>*Assuming same time as batch 1 based a bit on Flow and CO2</t>
  </si>
  <si>
    <t>*As in Batch 1 and based in flow, assumption that section full in 2 hours</t>
  </si>
  <si>
    <t>*Assume that move pig took 10 min</t>
  </si>
  <si>
    <t xml:space="preserve">*Jens "85stk til slagt" </t>
  </si>
  <si>
    <t>*They didn’t wrote the time, I will assume 6:20</t>
  </si>
  <si>
    <t xml:space="preserve">*Asssume that take all pigs out took 2 hours </t>
  </si>
  <si>
    <t>*Pablo (Section was clearly washed)</t>
  </si>
  <si>
    <t>*Approx time 2 hours</t>
  </si>
  <si>
    <t>*Assume time of dead aprox 10 min before 12</t>
  </si>
  <si>
    <t>*265 new pigs</t>
  </si>
  <si>
    <t>*Assume time of dead 09:20</t>
  </si>
  <si>
    <t>*Assume time 20 min before 12</t>
  </si>
  <si>
    <t>*Assume 10 min before 12</t>
  </si>
  <si>
    <t>*Assume at 09:20</t>
  </si>
  <si>
    <t>*Jens "1 dead pig"</t>
  </si>
  <si>
    <t>*Assume they move 10 min before 12</t>
  </si>
  <si>
    <t>* Assume 10 min before 12</t>
  </si>
  <si>
    <t xml:space="preserve">Jens write "1 gris flytte til stald 4" </t>
  </si>
  <si>
    <t>* Assume at 10:20</t>
  </si>
  <si>
    <t>* I will assume they move 7 pigs 30 min before registration</t>
  </si>
  <si>
    <t>* I will assume they move 2 pigs at 08:20</t>
  </si>
  <si>
    <t>Jens write "2 grise til hold 4"</t>
  </si>
  <si>
    <t>*Assume it took 2h to move these pigs, also, assume it happen this day</t>
  </si>
  <si>
    <t>* Writen by Jens</t>
  </si>
  <si>
    <t>*Assume pigs left on this day 2 h before 08:30</t>
  </si>
  <si>
    <t>* Assume all pigs moved 11:30 this day</t>
  </si>
  <si>
    <t>* Assume they move 20 min before 12</t>
  </si>
  <si>
    <t>* 1 dead pig</t>
  </si>
  <si>
    <t>*No time writen, assume aprox 40 min before flow on</t>
  </si>
  <si>
    <t>* Jens write 9th of August but based on the flow it has to be the 8th</t>
  </si>
  <si>
    <t>*No time written, I will guess 12:00 to 14:00 slightly based on flow</t>
  </si>
  <si>
    <t>*No time written, based on flow and previous 11:00</t>
  </si>
  <si>
    <t>*Not directly writen by Jens but no event registered</t>
  </si>
  <si>
    <t>*Assume New pigs at 11:00 and all in in 2 hours</t>
  </si>
  <si>
    <t>81 new pigs</t>
  </si>
  <si>
    <t>Jens "2g til stald 2"</t>
  </si>
  <si>
    <t>Jens "3g til stald 2"</t>
  </si>
  <si>
    <t>* Assume they move 10 min before 12</t>
  </si>
  <si>
    <t>Jens</t>
  </si>
  <si>
    <t>1 dead pig</t>
  </si>
  <si>
    <t>* Assume 1 less 10 min before 12</t>
  </si>
  <si>
    <t>Jens "4g til stald 2"</t>
  </si>
  <si>
    <t>Number of pigs writen by Jens was 299 but should be 294</t>
  </si>
  <si>
    <t>Jens "1g til stald 2"</t>
  </si>
  <si>
    <t>*Per, nothing written by Jens</t>
  </si>
  <si>
    <t>* Assume the pig move 10 min before 12</t>
  </si>
  <si>
    <t>26/21 pigs less but nothing registered, number writen by Jens</t>
  </si>
  <si>
    <t>* Assume pigs out at 11:30</t>
  </si>
  <si>
    <t>*Writen by Jens but don't fit with previous registrations He wrote on the 14th "31 gris til stald 4"</t>
  </si>
  <si>
    <t>* Written by Jens</t>
  </si>
  <si>
    <t>*Extrapolated from the two previous. No flushing time, somewhere between 7 and 10</t>
  </si>
  <si>
    <t>*Not writen by Jens but no event registered</t>
  </si>
  <si>
    <t>* Assume pigs leaving at 11 since no flow at 12</t>
  </si>
  <si>
    <t xml:space="preserve">* Assuming section empty in 2h </t>
  </si>
  <si>
    <t>Jesper/Jens "2Stk flyttet til stald 3"</t>
  </si>
  <si>
    <t>Jesper/Jens "Flyttet 4 stk til stald 4"</t>
  </si>
  <si>
    <t>Jesper/Jens "1 Flyttet til stald 4"</t>
  </si>
  <si>
    <t>Jesper/Jens</t>
  </si>
  <si>
    <t>* Assume start moving at 12:00</t>
  </si>
  <si>
    <t>Jesper/Jens "24 stk til stald 4"</t>
  </si>
  <si>
    <t>Jesper/Jens "1 stk til stald 7"</t>
  </si>
  <si>
    <t>* Assume 10 min before 9</t>
  </si>
  <si>
    <t>* Nothing registered but Jesper put 270 instead of 271, I will assume 1 pig less this day</t>
  </si>
  <si>
    <t>1 pig dead</t>
  </si>
  <si>
    <t>Jens/Jesper "1 stk til stald 7 overfort til hold 2"</t>
  </si>
  <si>
    <t>* Assume 10 mini before 12</t>
  </si>
  <si>
    <t>Jens write "2 gris til stald 1"</t>
  </si>
  <si>
    <t xml:space="preserve">Jens write "9g til stald 2, 1 g til stald 1" </t>
  </si>
  <si>
    <t>* Assume pig move 10 min before 12</t>
  </si>
  <si>
    <t>Jens "1 g fra stald 1"--&gt; 1 pig more?</t>
  </si>
  <si>
    <t>*Should be 292 but Jens write 288, I will rely on Jens number and assume today 4 pigs moved out</t>
  </si>
  <si>
    <t>Jens "2 g til stald 2"</t>
  </si>
  <si>
    <t>Jens "1 gris flytte til stald 2"</t>
  </si>
  <si>
    <t>Jens "2 gris til stald 7, 1 gris til stald 2"</t>
  </si>
  <si>
    <t>*Jens write 272 but should be 277 accodring to registrations. I will assume 272 and 5 pigs moved out this day</t>
  </si>
  <si>
    <t>* Assume 20 min before 10</t>
  </si>
  <si>
    <t>* Asssume 10 min before 12</t>
  </si>
  <si>
    <t>* Assume they leave 2 hours before 12</t>
  </si>
  <si>
    <t>* Nothing registered but is writen 185, I will assume the pigs left this day</t>
  </si>
  <si>
    <t>* Assume all out 10 min before 4:30</t>
  </si>
  <si>
    <t>* I will assume flushing took 30 min and that the value is the same as at start of batch 2. No pigs no more slurry</t>
  </si>
  <si>
    <t>* Based on temperature of slurry I will assume the slurry flushing happen at 14:00</t>
  </si>
  <si>
    <t xml:space="preserve">*Assumption based on when the flow was on. ***Looks like they have flushed based on temperature and next height but they did not register!!! </t>
  </si>
  <si>
    <t>* Assume they flushed at 14:30. Not very clear based on temperature though</t>
  </si>
  <si>
    <t>* Assume they flushed to the same level as batch 2. No evaporation</t>
  </si>
  <si>
    <t>*1 ~cal~ til stald 7 overfort til hold 2 --&gt;1 pig more?</t>
  </si>
  <si>
    <t>*"1 ~stk~ til stald 7 overfort til hold 2" --&gt;1 pig less?</t>
  </si>
  <si>
    <t>* Jens write "1 gris til stald 7"</t>
  </si>
  <si>
    <t>*Jens on the phone "50 pigs to slaughter from section 5" // The height I extrapolate based on the height decrease per day on the previous day and divided by the pig number ratio</t>
  </si>
  <si>
    <t>*Flow 0 at 04:30--&gt;pigs out 4:30? // Height calculation based on same criteria as before</t>
  </si>
  <si>
    <t>*Flow was 0 on 19-07 at 15:00--&gt;pigs out /// Assume same value as on the 21--&gt;no pigs, no slurry generation</t>
  </si>
  <si>
    <t>https://doi.org/10.1002/jsfa.1519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</si>
</sst>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22" fontId="0" fillId="0" borderId="0" xfId="0" applyNumberFormat="1"/>
    <xf numFmtId="22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1" fillId="0" borderId="0" xfId="0" applyNumberFormat="1" applyFont="1" applyAlignment="1">
      <alignment vertical="center"/>
    </xf>
    <xf numFmtId="2" fontId="0" fillId="0" borderId="0" xfId="0" applyNumberFormat="1"/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2" fontId="3" fillId="0" borderId="0" xfId="0" applyNumberFormat="1" applyFont="1"/>
    <xf numFmtId="0" fontId="5" fillId="0" borderId="0" xfId="0" applyFont="1" applyAlignment="1">
      <alignment horizontal="center" vertical="center"/>
    </xf>
    <xf numFmtId="0" fontId="0" fillId="2" borderId="0" xfId="0" applyFill="1"/>
    <xf numFmtId="0" fontId="6" fillId="0" borderId="0" xfId="1"/>
    <xf numFmtId="2" fontId="5" fillId="0" borderId="0" xfId="0" applyNumberFormat="1" applyFont="1"/>
    <xf numFmtId="22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22" fontId="3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22" fontId="0" fillId="2" borderId="0" xfId="0" applyNumberFormat="1" applyFill="1" applyAlignment="1">
      <alignment vertical="center"/>
    </xf>
    <xf numFmtId="1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02/jsfa.1519" TargetMode="External"/><Relationship Id="rId1" Type="http://schemas.openxmlformats.org/officeDocument/2006/relationships/hyperlink" Target="https://www.hendersons.co.uk/pigequip/Pig_growth_ra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1"/>
  <sheetViews>
    <sheetView tabSelected="1" topLeftCell="L260" zoomScale="70" zoomScaleNormal="70" workbookViewId="0">
      <selection activeCell="Q253" sqref="Q253"/>
    </sheetView>
  </sheetViews>
  <sheetFormatPr defaultRowHeight="14.5" x14ac:dyDescent="0.35"/>
  <cols>
    <col min="1" max="1" width="15.1796875" bestFit="1" customWidth="1"/>
    <col min="2" max="2" width="12.453125" bestFit="1" customWidth="1"/>
    <col min="3" max="3" width="22.1796875" bestFit="1" customWidth="1"/>
    <col min="4" max="4" width="21.1796875" customWidth="1"/>
    <col min="5" max="5" width="19.453125" bestFit="1" customWidth="1"/>
    <col min="6" max="6" width="15.1796875" customWidth="1"/>
    <col min="7" max="7" width="19.453125" bestFit="1" customWidth="1"/>
    <col min="8" max="9" width="19.453125" customWidth="1"/>
    <col min="10" max="10" width="11.453125" bestFit="1" customWidth="1"/>
    <col min="11" max="11" width="7.54296875" bestFit="1" customWidth="1"/>
    <col min="12" max="12" width="16.453125" bestFit="1" customWidth="1"/>
    <col min="13" max="13" width="13.1796875" bestFit="1" customWidth="1"/>
    <col min="15" max="15" width="24.7265625" bestFit="1" customWidth="1"/>
    <col min="16" max="18" width="23.1796875" customWidth="1"/>
    <col min="19" max="19" width="23.453125" customWidth="1"/>
    <col min="20" max="20" width="15" bestFit="1" customWidth="1"/>
    <col min="22" max="22" width="9.81640625" bestFit="1" customWidth="1"/>
  </cols>
  <sheetData>
    <row r="1" spans="1:23" x14ac:dyDescent="0.35">
      <c r="A1" s="1" t="s">
        <v>0</v>
      </c>
      <c r="B1" t="s">
        <v>12</v>
      </c>
      <c r="C1" t="s">
        <v>16</v>
      </c>
      <c r="D1" t="s">
        <v>15</v>
      </c>
      <c r="E1" t="s">
        <v>13</v>
      </c>
      <c r="F1" t="s">
        <v>23</v>
      </c>
      <c r="G1" t="s">
        <v>14</v>
      </c>
      <c r="H1" t="s">
        <v>17</v>
      </c>
      <c r="I1" t="s">
        <v>18</v>
      </c>
      <c r="J1" s="1" t="s">
        <v>1</v>
      </c>
      <c r="K1" s="1" t="s">
        <v>2</v>
      </c>
      <c r="L1" s="1" t="s">
        <v>7</v>
      </c>
      <c r="M1" s="1" t="s">
        <v>6</v>
      </c>
      <c r="N1" s="1" t="s">
        <v>3</v>
      </c>
      <c r="O1" s="1" t="s">
        <v>5</v>
      </c>
      <c r="P1" s="1" t="s">
        <v>25</v>
      </c>
      <c r="Q1" t="s">
        <v>27</v>
      </c>
      <c r="R1" t="s">
        <v>26</v>
      </c>
      <c r="S1" s="1" t="s">
        <v>4</v>
      </c>
      <c r="T1" s="1" t="s">
        <v>8</v>
      </c>
      <c r="U1" s="1" t="s">
        <v>9</v>
      </c>
      <c r="V1" t="s">
        <v>10</v>
      </c>
      <c r="W1" t="s">
        <v>11</v>
      </c>
    </row>
    <row r="2" spans="1:23" x14ac:dyDescent="0.35">
      <c r="A2" s="2">
        <v>44690.270833333336</v>
      </c>
      <c r="B2">
        <v>50</v>
      </c>
      <c r="C2">
        <f>+(5.064*2.374)*16+19.174*1</f>
        <v>211.52497600000001</v>
      </c>
      <c r="D2">
        <f>11.19*2.23*8</f>
        <v>199.62959999999998</v>
      </c>
      <c r="E2">
        <v>45.5</v>
      </c>
      <c r="G2">
        <f>IF(ISBLANK(E2),"",+$B$2-E2)</f>
        <v>4.5</v>
      </c>
      <c r="H2">
        <v>1000</v>
      </c>
      <c r="I2">
        <f>+IF(ISBLANK(E2),"",(G2/100)*$C$2)</f>
        <v>9.5186239199999996</v>
      </c>
      <c r="K2">
        <v>0</v>
      </c>
      <c r="L2" s="1">
        <v>0</v>
      </c>
      <c r="M2">
        <f>IF(ISBLANK(E2),"",+I2*$H$2)</f>
        <v>9518.62392</v>
      </c>
      <c r="O2">
        <v>1388.039</v>
      </c>
      <c r="P2" s="21" t="s">
        <v>24</v>
      </c>
      <c r="R2">
        <v>208317.3</v>
      </c>
      <c r="T2">
        <v>5</v>
      </c>
      <c r="U2">
        <v>1</v>
      </c>
    </row>
    <row r="3" spans="1:23" x14ac:dyDescent="0.35">
      <c r="A3" s="2">
        <v>44690.333333333336</v>
      </c>
      <c r="D3" s="11"/>
      <c r="G3" t="str">
        <f t="shared" ref="G3:G92" si="0">IF(ISBLANK(E3),"",+$B$2-E3)</f>
        <v/>
      </c>
      <c r="I3" t="str">
        <f t="shared" ref="I3:I91" si="1">+IF(ISBLANK(E3),"",(G3/100)*$C$2)</f>
        <v/>
      </c>
      <c r="K3">
        <v>0</v>
      </c>
      <c r="L3" s="18">
        <v>0</v>
      </c>
      <c r="M3" t="str">
        <f t="shared" ref="M3:M8" si="2">IF(ISBLANK(E3),"",+I3*$H$2)</f>
        <v/>
      </c>
      <c r="O3">
        <v>1391.6120000000001</v>
      </c>
      <c r="P3" s="21" t="s">
        <v>158</v>
      </c>
      <c r="T3">
        <v>5</v>
      </c>
      <c r="U3">
        <v>1</v>
      </c>
    </row>
    <row r="4" spans="1:23" x14ac:dyDescent="0.35">
      <c r="A4" s="2">
        <v>44690.416666666664</v>
      </c>
      <c r="D4" s="11"/>
      <c r="K4">
        <v>304</v>
      </c>
      <c r="L4" s="18">
        <v>30</v>
      </c>
      <c r="M4" t="str">
        <f t="shared" si="2"/>
        <v/>
      </c>
      <c r="O4">
        <v>1391.6120000000001</v>
      </c>
      <c r="Q4">
        <v>1.23</v>
      </c>
      <c r="T4">
        <v>5</v>
      </c>
      <c r="U4">
        <v>1</v>
      </c>
      <c r="V4" t="s">
        <v>65</v>
      </c>
    </row>
    <row r="5" spans="1:23" x14ac:dyDescent="0.35">
      <c r="A5" s="6">
        <v>44698.482638888891</v>
      </c>
      <c r="C5" s="13"/>
      <c r="D5" s="12"/>
      <c r="E5" s="5">
        <v>42</v>
      </c>
      <c r="F5" s="5"/>
      <c r="G5">
        <f t="shared" si="0"/>
        <v>8</v>
      </c>
      <c r="I5">
        <f t="shared" si="1"/>
        <v>16.921998080000002</v>
      </c>
      <c r="K5" s="5">
        <v>304</v>
      </c>
      <c r="L5" s="18">
        <f t="shared" ref="L5" si="3">1.1023*A5-49232</f>
        <v>39.137412847223459</v>
      </c>
      <c r="M5">
        <f t="shared" si="2"/>
        <v>16921.998080000001</v>
      </c>
      <c r="O5">
        <v>1599.424</v>
      </c>
      <c r="Q5">
        <v>1.64</v>
      </c>
      <c r="T5">
        <v>5</v>
      </c>
      <c r="U5">
        <v>1</v>
      </c>
    </row>
    <row r="6" spans="1:23" x14ac:dyDescent="0.35">
      <c r="A6" s="4">
        <v>44705.5625</v>
      </c>
      <c r="C6" s="13"/>
      <c r="D6" s="12"/>
      <c r="E6">
        <v>37</v>
      </c>
      <c r="G6">
        <f t="shared" si="0"/>
        <v>13</v>
      </c>
      <c r="I6">
        <f t="shared" si="1"/>
        <v>27.498246880000004</v>
      </c>
      <c r="K6" s="7">
        <v>304</v>
      </c>
      <c r="L6" s="18">
        <f t="shared" ref="L6:L41" si="4">1.1023*A6-49232</f>
        <v>46.941543749999255</v>
      </c>
      <c r="M6">
        <f t="shared" si="2"/>
        <v>27498.246880000002</v>
      </c>
      <c r="O6">
        <v>1838.3589999999999</v>
      </c>
      <c r="T6">
        <v>5</v>
      </c>
      <c r="U6">
        <v>1</v>
      </c>
    </row>
    <row r="7" spans="1:23" x14ac:dyDescent="0.35">
      <c r="A7" s="4">
        <v>44708.493055555555</v>
      </c>
      <c r="C7" s="13"/>
      <c r="D7" s="12"/>
      <c r="K7" s="7">
        <v>304</v>
      </c>
      <c r="L7" s="18"/>
      <c r="T7">
        <v>5</v>
      </c>
      <c r="U7">
        <v>1</v>
      </c>
      <c r="V7" t="s">
        <v>83</v>
      </c>
    </row>
    <row r="8" spans="1:23" x14ac:dyDescent="0.35">
      <c r="A8" s="4">
        <v>44708.5</v>
      </c>
      <c r="C8" s="13"/>
      <c r="D8" s="12"/>
      <c r="G8" t="str">
        <f t="shared" si="0"/>
        <v/>
      </c>
      <c r="I8" t="str">
        <f t="shared" si="1"/>
        <v/>
      </c>
      <c r="K8" s="7">
        <v>302</v>
      </c>
      <c r="L8" s="18">
        <f t="shared" si="4"/>
        <v>50.179550000000745</v>
      </c>
      <c r="M8" t="str">
        <f t="shared" si="2"/>
        <v/>
      </c>
      <c r="O8">
        <v>1942.68</v>
      </c>
      <c r="Q8">
        <v>1.99</v>
      </c>
      <c r="T8">
        <v>5</v>
      </c>
      <c r="U8">
        <v>1</v>
      </c>
      <c r="V8" t="s">
        <v>121</v>
      </c>
    </row>
    <row r="9" spans="1:23" x14ac:dyDescent="0.35">
      <c r="A9" s="6">
        <v>44712.5625</v>
      </c>
      <c r="C9" s="13"/>
      <c r="D9" s="12"/>
      <c r="E9" s="5">
        <v>30</v>
      </c>
      <c r="F9" s="9">
        <f>+(E9-E5)/(A9-A5)</f>
        <v>-0.85228113440207076</v>
      </c>
      <c r="G9">
        <f t="shared" si="0"/>
        <v>20</v>
      </c>
      <c r="I9">
        <f t="shared" si="1"/>
        <v>42.304995200000008</v>
      </c>
      <c r="K9" s="5">
        <v>302</v>
      </c>
      <c r="L9" s="18">
        <f t="shared" si="4"/>
        <v>54.657643750004354</v>
      </c>
      <c r="M9">
        <f t="shared" ref="M9:M91" si="5">IF(ISBLANK(E9),"",+I9*$H$2)</f>
        <v>42304.995200000005</v>
      </c>
      <c r="O9">
        <v>2026.829</v>
      </c>
      <c r="T9">
        <v>5</v>
      </c>
      <c r="U9">
        <v>1</v>
      </c>
    </row>
    <row r="10" spans="1:23" x14ac:dyDescent="0.35">
      <c r="A10" s="10">
        <v>44713.239583333336</v>
      </c>
      <c r="C10" s="14"/>
      <c r="D10" s="8"/>
      <c r="E10" s="8">
        <f>+F9*A10+F10</f>
        <v>29.422934648580849</v>
      </c>
      <c r="F10" s="15">
        <f>+E9-F9*A9</f>
        <v>38137.673489523491</v>
      </c>
      <c r="G10">
        <f t="shared" si="0"/>
        <v>20.577065351419151</v>
      </c>
      <c r="I10">
        <f t="shared" si="1"/>
        <v>43.525632546093682</v>
      </c>
      <c r="K10" s="5"/>
      <c r="L10" s="18">
        <f t="shared" si="4"/>
        <v>55.403992708335863</v>
      </c>
      <c r="M10">
        <f t="shared" si="5"/>
        <v>43525.632546093679</v>
      </c>
      <c r="O10">
        <v>2039.162</v>
      </c>
      <c r="T10">
        <v>5</v>
      </c>
      <c r="U10">
        <v>1</v>
      </c>
      <c r="V10" t="s">
        <v>22</v>
      </c>
    </row>
    <row r="11" spans="1:23" x14ac:dyDescent="0.35">
      <c r="A11" s="10">
        <v>44713.298611111109</v>
      </c>
      <c r="D11" s="12"/>
      <c r="E11">
        <v>47</v>
      </c>
      <c r="G11">
        <f t="shared" si="0"/>
        <v>3</v>
      </c>
      <c r="I11">
        <f t="shared" si="1"/>
        <v>6.3457492799999997</v>
      </c>
      <c r="K11" s="7">
        <v>302</v>
      </c>
      <c r="L11" s="18">
        <f t="shared" si="4"/>
        <v>55.469059027775074</v>
      </c>
      <c r="M11">
        <f t="shared" si="5"/>
        <v>6345.74928</v>
      </c>
      <c r="O11">
        <v>2040.2370000000001</v>
      </c>
      <c r="T11">
        <v>5</v>
      </c>
      <c r="U11">
        <v>1</v>
      </c>
    </row>
    <row r="12" spans="1:23" x14ac:dyDescent="0.35">
      <c r="A12" s="4">
        <v>44714.493055555555</v>
      </c>
      <c r="D12" s="12"/>
      <c r="K12" s="7">
        <v>302</v>
      </c>
      <c r="L12" s="18"/>
      <c r="T12">
        <v>5</v>
      </c>
      <c r="U12">
        <v>1</v>
      </c>
      <c r="V12" t="s">
        <v>83</v>
      </c>
    </row>
    <row r="13" spans="1:23" x14ac:dyDescent="0.35">
      <c r="A13" s="4">
        <v>44714.5</v>
      </c>
      <c r="D13" s="12"/>
      <c r="K13" s="7">
        <v>298</v>
      </c>
      <c r="L13" s="18"/>
      <c r="T13">
        <v>5</v>
      </c>
      <c r="U13">
        <v>1</v>
      </c>
      <c r="V13" t="s">
        <v>122</v>
      </c>
    </row>
    <row r="14" spans="1:23" x14ac:dyDescent="0.35">
      <c r="A14" s="4">
        <v>44717.493055555555</v>
      </c>
      <c r="D14" s="12"/>
      <c r="K14" s="7">
        <v>298</v>
      </c>
      <c r="L14" s="18"/>
      <c r="T14">
        <v>5</v>
      </c>
      <c r="U14">
        <v>1</v>
      </c>
      <c r="V14" t="s">
        <v>83</v>
      </c>
    </row>
    <row r="15" spans="1:23" x14ac:dyDescent="0.35">
      <c r="A15" s="4">
        <v>44717.5</v>
      </c>
      <c r="C15" s="10"/>
      <c r="D15" s="8"/>
      <c r="G15" t="str">
        <f t="shared" si="0"/>
        <v/>
      </c>
      <c r="I15" t="str">
        <f t="shared" si="1"/>
        <v/>
      </c>
      <c r="K15" s="7">
        <v>297</v>
      </c>
      <c r="L15" s="18">
        <f t="shared" si="4"/>
        <v>60.100250000003143</v>
      </c>
      <c r="M15" t="str">
        <f t="shared" si="5"/>
        <v/>
      </c>
      <c r="O15">
        <v>2118.4079999999999</v>
      </c>
      <c r="Q15">
        <v>2.2999999999999998</v>
      </c>
      <c r="T15">
        <v>5</v>
      </c>
      <c r="U15">
        <v>1</v>
      </c>
      <c r="V15" t="s">
        <v>123</v>
      </c>
    </row>
    <row r="16" spans="1:23" x14ac:dyDescent="0.35">
      <c r="A16" s="6">
        <v>44719.590277777781</v>
      </c>
      <c r="D16" s="8"/>
      <c r="E16" s="5">
        <v>39.5</v>
      </c>
      <c r="F16" s="9">
        <f>+(E16-E11)/(A16-A11)</f>
        <v>-1.1920529801315314</v>
      </c>
      <c r="G16">
        <f t="shared" si="0"/>
        <v>10.5</v>
      </c>
      <c r="I16">
        <f t="shared" si="1"/>
        <v>22.210122479999999</v>
      </c>
      <c r="K16" s="5">
        <v>297</v>
      </c>
      <c r="L16" s="18">
        <f t="shared" si="4"/>
        <v>62.404363194451435</v>
      </c>
      <c r="M16">
        <f t="shared" si="5"/>
        <v>22210.122479999998</v>
      </c>
      <c r="O16">
        <v>2154.8380000000002</v>
      </c>
      <c r="T16">
        <v>5</v>
      </c>
      <c r="U16">
        <v>1</v>
      </c>
      <c r="V16" t="s">
        <v>124</v>
      </c>
    </row>
    <row r="17" spans="1:22" x14ac:dyDescent="0.35">
      <c r="A17" s="4">
        <v>44720.5</v>
      </c>
      <c r="D17" s="8"/>
      <c r="E17" s="5"/>
      <c r="F17" s="9"/>
      <c r="K17" s="5">
        <v>297</v>
      </c>
      <c r="L17" s="18"/>
      <c r="T17">
        <v>5</v>
      </c>
      <c r="U17">
        <v>1</v>
      </c>
      <c r="V17" t="s">
        <v>125</v>
      </c>
    </row>
    <row r="18" spans="1:22" x14ac:dyDescent="0.35">
      <c r="A18" s="4">
        <v>44720.541666666664</v>
      </c>
      <c r="D18" s="8"/>
      <c r="F18" s="15">
        <f>+E16-F16*A16</f>
        <v>53347.620860886062</v>
      </c>
      <c r="G18" t="str">
        <f t="shared" si="0"/>
        <v/>
      </c>
      <c r="I18" t="str">
        <f t="shared" si="1"/>
        <v/>
      </c>
      <c r="K18" s="7">
        <v>273</v>
      </c>
      <c r="L18" s="18">
        <f t="shared" si="4"/>
        <v>63.45307916666934</v>
      </c>
      <c r="M18" t="str">
        <f t="shared" si="5"/>
        <v/>
      </c>
      <c r="O18">
        <v>2173.0520000000001</v>
      </c>
      <c r="T18">
        <v>5</v>
      </c>
      <c r="U18">
        <v>1</v>
      </c>
      <c r="V18" t="s">
        <v>126</v>
      </c>
    </row>
    <row r="19" spans="1:22" x14ac:dyDescent="0.35">
      <c r="A19" s="6">
        <v>44726.305555555555</v>
      </c>
      <c r="D19" s="8"/>
      <c r="E19" s="5">
        <v>34</v>
      </c>
      <c r="F19" s="5"/>
      <c r="G19">
        <f t="shared" si="0"/>
        <v>16</v>
      </c>
      <c r="I19">
        <f t="shared" si="1"/>
        <v>33.843996160000003</v>
      </c>
      <c r="K19" s="5">
        <v>273</v>
      </c>
      <c r="L19" s="18">
        <f t="shared" si="4"/>
        <v>69.806613888889842</v>
      </c>
      <c r="M19">
        <f t="shared" si="5"/>
        <v>33843.996160000002</v>
      </c>
      <c r="O19">
        <v>2308.9250000000002</v>
      </c>
      <c r="Q19">
        <v>2.5499999999999998</v>
      </c>
      <c r="T19">
        <v>5</v>
      </c>
      <c r="U19">
        <v>1</v>
      </c>
      <c r="V19" t="s">
        <v>124</v>
      </c>
    </row>
    <row r="20" spans="1:22" x14ac:dyDescent="0.35">
      <c r="A20" s="4">
        <v>44730.493055555555</v>
      </c>
      <c r="D20" s="8"/>
      <c r="E20" s="5"/>
      <c r="F20" s="5"/>
      <c r="K20" s="5">
        <v>273</v>
      </c>
      <c r="L20" s="18"/>
      <c r="T20">
        <v>5</v>
      </c>
      <c r="U20">
        <v>1</v>
      </c>
      <c r="V20" t="s">
        <v>83</v>
      </c>
    </row>
    <row r="21" spans="1:22" x14ac:dyDescent="0.35">
      <c r="A21" s="4">
        <v>44730.5</v>
      </c>
      <c r="D21" s="8"/>
      <c r="G21" t="str">
        <f t="shared" si="0"/>
        <v/>
      </c>
      <c r="I21" t="str">
        <f t="shared" si="1"/>
        <v/>
      </c>
      <c r="K21" s="7">
        <v>272</v>
      </c>
      <c r="L21" s="18">
        <f t="shared" si="4"/>
        <v>74.43015000000014</v>
      </c>
      <c r="M21" t="str">
        <f t="shared" si="5"/>
        <v/>
      </c>
      <c r="O21">
        <v>2418.1880000000001</v>
      </c>
      <c r="T21">
        <v>5</v>
      </c>
      <c r="U21">
        <v>1</v>
      </c>
      <c r="V21" t="s">
        <v>127</v>
      </c>
    </row>
    <row r="22" spans="1:22" x14ac:dyDescent="0.35">
      <c r="A22" s="6">
        <v>44733.388888888891</v>
      </c>
      <c r="D22" s="11"/>
      <c r="E22" s="5">
        <v>28.5</v>
      </c>
      <c r="F22" s="5"/>
      <c r="G22">
        <f t="shared" si="0"/>
        <v>21.5</v>
      </c>
      <c r="I22">
        <f t="shared" si="1"/>
        <v>45.477869840000004</v>
      </c>
      <c r="K22" s="5">
        <v>272</v>
      </c>
      <c r="L22" s="18">
        <f t="shared" si="4"/>
        <v>77.614572222228162</v>
      </c>
      <c r="M22">
        <f t="shared" si="5"/>
        <v>45477.869840000007</v>
      </c>
      <c r="O22">
        <v>2489.5540000000001</v>
      </c>
      <c r="T22">
        <v>5</v>
      </c>
      <c r="U22">
        <v>1</v>
      </c>
    </row>
    <row r="23" spans="1:22" x14ac:dyDescent="0.35">
      <c r="A23" s="4">
        <v>44739.493055555555</v>
      </c>
      <c r="D23" s="11"/>
      <c r="E23" s="5"/>
      <c r="F23" s="5"/>
      <c r="K23" s="5">
        <v>272</v>
      </c>
      <c r="L23" s="18">
        <v>80</v>
      </c>
      <c r="Q23">
        <v>2.74</v>
      </c>
      <c r="T23">
        <v>5</v>
      </c>
      <c r="U23">
        <v>1</v>
      </c>
      <c r="V23" t="s">
        <v>83</v>
      </c>
    </row>
    <row r="24" spans="1:22" x14ac:dyDescent="0.35">
      <c r="A24" s="4">
        <v>44739.5</v>
      </c>
      <c r="D24" s="11"/>
      <c r="G24" t="str">
        <f t="shared" si="0"/>
        <v/>
      </c>
      <c r="I24" t="str">
        <f t="shared" si="1"/>
        <v/>
      </c>
      <c r="K24" s="7">
        <v>271</v>
      </c>
      <c r="L24" s="18">
        <f t="shared" si="4"/>
        <v>84.350850000002538</v>
      </c>
      <c r="M24" t="str">
        <f t="shared" si="5"/>
        <v/>
      </c>
      <c r="O24">
        <v>2613.375</v>
      </c>
      <c r="T24">
        <v>5</v>
      </c>
      <c r="U24">
        <v>1</v>
      </c>
      <c r="V24" t="s">
        <v>127</v>
      </c>
    </row>
    <row r="25" spans="1:22" x14ac:dyDescent="0.35">
      <c r="A25" s="6">
        <v>44740.319444444445</v>
      </c>
      <c r="E25" s="5">
        <v>23</v>
      </c>
      <c r="F25" s="5"/>
      <c r="G25">
        <f t="shared" si="0"/>
        <v>27</v>
      </c>
      <c r="I25">
        <f t="shared" si="1"/>
        <v>57.111743520000005</v>
      </c>
      <c r="K25" s="5">
        <v>271</v>
      </c>
      <c r="L25" s="18">
        <f t="shared" si="4"/>
        <v>85.254123611113755</v>
      </c>
      <c r="M25">
        <f t="shared" si="5"/>
        <v>57111.743520000004</v>
      </c>
      <c r="O25">
        <v>2625.7710000000002</v>
      </c>
      <c r="T25">
        <v>5</v>
      </c>
      <c r="U25">
        <v>1</v>
      </c>
    </row>
    <row r="26" spans="1:22" x14ac:dyDescent="0.35">
      <c r="A26" s="6">
        <v>44741.291666666664</v>
      </c>
      <c r="C26" s="6"/>
      <c r="D26" s="7"/>
      <c r="E26" s="7">
        <v>22</v>
      </c>
      <c r="F26" s="5"/>
      <c r="G26">
        <f t="shared" si="0"/>
        <v>28</v>
      </c>
      <c r="I26">
        <f t="shared" si="1"/>
        <v>59.226993280000009</v>
      </c>
      <c r="K26" s="5"/>
      <c r="L26" s="18">
        <f t="shared" si="4"/>
        <v>86.325804166663147</v>
      </c>
      <c r="M26">
        <f t="shared" si="5"/>
        <v>59226.99328000001</v>
      </c>
      <c r="O26">
        <v>2642.299</v>
      </c>
      <c r="T26">
        <v>5</v>
      </c>
      <c r="U26">
        <v>1</v>
      </c>
    </row>
    <row r="27" spans="1:22" x14ac:dyDescent="0.35">
      <c r="A27" s="6">
        <v>44741.347222222219</v>
      </c>
      <c r="C27" s="6"/>
      <c r="D27" s="7"/>
      <c r="E27" s="7">
        <v>46</v>
      </c>
      <c r="F27" s="5"/>
      <c r="G27">
        <f t="shared" si="0"/>
        <v>4</v>
      </c>
      <c r="I27">
        <f t="shared" si="1"/>
        <v>8.4609990400000008</v>
      </c>
      <c r="K27" s="5"/>
      <c r="L27" s="18">
        <f t="shared" si="4"/>
        <v>86.387043055554386</v>
      </c>
      <c r="M27">
        <f t="shared" si="5"/>
        <v>8460.9990400000006</v>
      </c>
      <c r="O27">
        <v>2643.2440000000001</v>
      </c>
      <c r="T27">
        <v>5</v>
      </c>
      <c r="U27">
        <v>1</v>
      </c>
    </row>
    <row r="28" spans="1:22" x14ac:dyDescent="0.35">
      <c r="A28" s="3">
        <v>44747.368055555555</v>
      </c>
      <c r="C28" s="6"/>
      <c r="D28" s="7"/>
      <c r="E28" s="7"/>
      <c r="F28" s="5"/>
      <c r="K28" s="5">
        <v>271</v>
      </c>
      <c r="L28" s="18">
        <v>90</v>
      </c>
      <c r="Q28">
        <v>2.86</v>
      </c>
      <c r="T28">
        <v>5</v>
      </c>
      <c r="U28">
        <v>1</v>
      </c>
      <c r="V28" t="s">
        <v>128</v>
      </c>
    </row>
    <row r="29" spans="1:22" x14ac:dyDescent="0.35">
      <c r="A29" s="3">
        <v>44747.375</v>
      </c>
      <c r="E29" s="5">
        <v>37</v>
      </c>
      <c r="F29" s="9">
        <f>+(E29-E27)/(A29-A27)</f>
        <v>-1.4930875576028857</v>
      </c>
      <c r="G29">
        <f t="shared" si="0"/>
        <v>13</v>
      </c>
      <c r="I29">
        <f t="shared" si="1"/>
        <v>27.498246880000004</v>
      </c>
      <c r="K29" s="5">
        <v>270</v>
      </c>
      <c r="L29" s="18">
        <f t="shared" si="4"/>
        <v>93.031462500002817</v>
      </c>
      <c r="M29">
        <f t="shared" si="5"/>
        <v>27498.246880000002</v>
      </c>
      <c r="O29">
        <v>2745.7179999999998</v>
      </c>
      <c r="T29">
        <v>5</v>
      </c>
      <c r="U29">
        <v>1</v>
      </c>
      <c r="V29" t="s">
        <v>129</v>
      </c>
    </row>
    <row r="30" spans="1:22" x14ac:dyDescent="0.35">
      <c r="A30" s="4">
        <v>44748.493055555555</v>
      </c>
      <c r="E30" s="5"/>
      <c r="F30" s="9"/>
      <c r="K30" s="5">
        <v>270</v>
      </c>
      <c r="L30" s="18"/>
      <c r="T30">
        <v>5</v>
      </c>
      <c r="U30">
        <v>1</v>
      </c>
      <c r="V30" t="s">
        <v>83</v>
      </c>
    </row>
    <row r="31" spans="1:22" x14ac:dyDescent="0.35">
      <c r="A31" s="4">
        <v>44748.5</v>
      </c>
      <c r="C31" s="6"/>
      <c r="D31" s="7"/>
      <c r="F31" s="15">
        <f>+E29-F29*A29</f>
        <v>66848.748847890427</v>
      </c>
      <c r="G31" t="str">
        <f t="shared" si="0"/>
        <v/>
      </c>
      <c r="I31" t="str">
        <f t="shared" si="1"/>
        <v/>
      </c>
      <c r="K31" s="7">
        <v>269</v>
      </c>
      <c r="L31" s="18">
        <f t="shared" si="4"/>
        <v>94.271550000004936</v>
      </c>
      <c r="M31" t="str">
        <f t="shared" si="5"/>
        <v/>
      </c>
      <c r="O31">
        <v>2766.3780000000002</v>
      </c>
      <c r="T31">
        <v>5</v>
      </c>
      <c r="U31">
        <v>1</v>
      </c>
      <c r="V31" t="s">
        <v>130</v>
      </c>
    </row>
    <row r="32" spans="1:22" x14ac:dyDescent="0.35">
      <c r="A32" s="4">
        <v>44753.493055555555</v>
      </c>
      <c r="C32" s="6"/>
      <c r="D32" s="7"/>
      <c r="F32" s="15"/>
      <c r="K32" s="7">
        <v>269</v>
      </c>
      <c r="L32" s="18"/>
      <c r="T32">
        <v>5</v>
      </c>
      <c r="U32">
        <v>1</v>
      </c>
      <c r="V32" t="s">
        <v>83</v>
      </c>
    </row>
    <row r="33" spans="1:22" x14ac:dyDescent="0.35">
      <c r="A33" s="4">
        <v>44753.5</v>
      </c>
      <c r="G33" t="str">
        <f t="shared" si="0"/>
        <v/>
      </c>
      <c r="I33" t="str">
        <f t="shared" si="1"/>
        <v/>
      </c>
      <c r="K33" s="7">
        <v>268</v>
      </c>
      <c r="L33" s="18">
        <f t="shared" si="4"/>
        <v>99.78305000000546</v>
      </c>
      <c r="M33" t="str">
        <f t="shared" si="5"/>
        <v/>
      </c>
      <c r="O33">
        <v>2870.2060000000001</v>
      </c>
      <c r="Q33">
        <v>2.91</v>
      </c>
      <c r="T33">
        <v>5</v>
      </c>
      <c r="U33">
        <v>1</v>
      </c>
      <c r="V33" t="s">
        <v>131</v>
      </c>
    </row>
    <row r="34" spans="1:22" x14ac:dyDescent="0.35">
      <c r="A34" s="3">
        <v>44754.326388888891</v>
      </c>
      <c r="E34" s="5">
        <v>30</v>
      </c>
      <c r="F34" s="5"/>
      <c r="G34">
        <f t="shared" si="0"/>
        <v>20</v>
      </c>
      <c r="I34">
        <f t="shared" si="1"/>
        <v>42.304995200000008</v>
      </c>
      <c r="K34" s="8">
        <v>268</v>
      </c>
      <c r="L34" s="18">
        <f t="shared" si="4"/>
        <v>100.69397847222717</v>
      </c>
      <c r="M34">
        <f t="shared" si="5"/>
        <v>42304.995200000005</v>
      </c>
      <c r="O34">
        <v>2885.8490000000002</v>
      </c>
      <c r="T34">
        <v>5</v>
      </c>
      <c r="U34">
        <v>1</v>
      </c>
      <c r="V34" t="s">
        <v>19</v>
      </c>
    </row>
    <row r="35" spans="1:22" x14ac:dyDescent="0.35">
      <c r="A35" s="6">
        <v>44755.239583333336</v>
      </c>
      <c r="E35" s="7">
        <v>29</v>
      </c>
      <c r="F35" s="5"/>
      <c r="G35">
        <f t="shared" si="0"/>
        <v>21</v>
      </c>
      <c r="I35">
        <f t="shared" si="1"/>
        <v>44.420244959999998</v>
      </c>
      <c r="K35" s="8"/>
      <c r="L35" s="18">
        <f t="shared" si="4"/>
        <v>101.70059270833735</v>
      </c>
      <c r="M35">
        <f t="shared" si="5"/>
        <v>44420.244959999996</v>
      </c>
      <c r="O35">
        <v>2905.2550000000001</v>
      </c>
      <c r="T35">
        <v>5</v>
      </c>
      <c r="U35">
        <v>1</v>
      </c>
    </row>
    <row r="36" spans="1:22" x14ac:dyDescent="0.35">
      <c r="A36" s="6">
        <v>44755.291666666664</v>
      </c>
      <c r="E36" s="7">
        <v>46</v>
      </c>
      <c r="F36" s="5"/>
      <c r="G36">
        <f t="shared" si="0"/>
        <v>4</v>
      </c>
      <c r="I36">
        <f t="shared" si="1"/>
        <v>8.4609990400000008</v>
      </c>
      <c r="K36" s="8"/>
      <c r="L36" s="18">
        <f t="shared" si="4"/>
        <v>101.75800416666607</v>
      </c>
      <c r="M36">
        <f t="shared" si="5"/>
        <v>8460.9990400000006</v>
      </c>
      <c r="O36">
        <v>2906.3609999999999</v>
      </c>
      <c r="T36">
        <v>5</v>
      </c>
      <c r="U36">
        <v>1</v>
      </c>
    </row>
    <row r="37" spans="1:22" x14ac:dyDescent="0.35">
      <c r="A37" s="4">
        <v>44756.590277777781</v>
      </c>
      <c r="G37" t="str">
        <f t="shared" si="0"/>
        <v/>
      </c>
      <c r="I37" t="str">
        <f t="shared" si="1"/>
        <v/>
      </c>
      <c r="K37" s="7">
        <v>268</v>
      </c>
      <c r="L37" s="18">
        <f t="shared" si="4"/>
        <v>103.1894631944524</v>
      </c>
      <c r="M37" t="str">
        <f t="shared" si="5"/>
        <v/>
      </c>
      <c r="O37">
        <v>2933.9569999999999</v>
      </c>
      <c r="T37">
        <v>5</v>
      </c>
      <c r="U37">
        <v>1</v>
      </c>
    </row>
    <row r="38" spans="1:22" x14ac:dyDescent="0.35">
      <c r="A38" s="4">
        <v>44756.590277777781</v>
      </c>
      <c r="G38" t="str">
        <f t="shared" si="0"/>
        <v/>
      </c>
      <c r="I38" t="str">
        <f t="shared" si="1"/>
        <v/>
      </c>
      <c r="K38" s="7">
        <v>268</v>
      </c>
      <c r="L38" s="18">
        <f t="shared" si="4"/>
        <v>103.1894631944524</v>
      </c>
      <c r="M38" t="str">
        <f t="shared" si="5"/>
        <v/>
      </c>
      <c r="O38">
        <v>2933.9569999999999</v>
      </c>
      <c r="T38">
        <v>5</v>
      </c>
      <c r="U38">
        <v>1</v>
      </c>
    </row>
    <row r="39" spans="1:22" x14ac:dyDescent="0.35">
      <c r="A39" s="4">
        <v>44757.493055555555</v>
      </c>
      <c r="K39" s="7">
        <v>268</v>
      </c>
      <c r="L39" s="18"/>
      <c r="T39">
        <v>5</v>
      </c>
      <c r="U39">
        <v>1</v>
      </c>
      <c r="V39" t="s">
        <v>132</v>
      </c>
    </row>
    <row r="40" spans="1:22" x14ac:dyDescent="0.35">
      <c r="A40" s="4">
        <v>44757.5</v>
      </c>
      <c r="G40" t="str">
        <f t="shared" si="0"/>
        <v/>
      </c>
      <c r="I40" t="str">
        <f t="shared" si="1"/>
        <v/>
      </c>
      <c r="K40" s="7">
        <v>267</v>
      </c>
      <c r="L40" s="18">
        <f t="shared" si="4"/>
        <v>104.19225000000006</v>
      </c>
      <c r="M40" t="str">
        <f t="shared" si="5"/>
        <v/>
      </c>
      <c r="O40">
        <v>2955.2080000000001</v>
      </c>
      <c r="T40">
        <v>5</v>
      </c>
      <c r="U40">
        <v>1</v>
      </c>
      <c r="V40" t="s">
        <v>131</v>
      </c>
    </row>
    <row r="41" spans="1:22" x14ac:dyDescent="0.35">
      <c r="A41" s="4">
        <v>44763.55972222222</v>
      </c>
      <c r="E41" s="9">
        <v>36</v>
      </c>
      <c r="F41" s="9">
        <f>+(E41-E36)/(A41-A36)</f>
        <v>-1.2094742146815785</v>
      </c>
      <c r="G41">
        <f t="shared" si="0"/>
        <v>14</v>
      </c>
      <c r="I41">
        <f t="shared" si="1"/>
        <v>29.613496640000005</v>
      </c>
      <c r="K41" s="7">
        <v>267</v>
      </c>
      <c r="L41" s="18">
        <f t="shared" si="4"/>
        <v>110.87188180555677</v>
      </c>
      <c r="M41">
        <f t="shared" si="5"/>
        <v>29613.496640000005</v>
      </c>
      <c r="Q41">
        <v>2.88</v>
      </c>
      <c r="T41">
        <v>5</v>
      </c>
      <c r="U41">
        <v>1</v>
      </c>
      <c r="V41" t="s">
        <v>20</v>
      </c>
    </row>
    <row r="42" spans="1:22" x14ac:dyDescent="0.35">
      <c r="A42" s="4">
        <v>44767.381944444445</v>
      </c>
      <c r="E42" s="9"/>
      <c r="F42" s="9"/>
      <c r="G42" t="str">
        <f t="shared" si="0"/>
        <v/>
      </c>
      <c r="I42" t="str">
        <f t="shared" si="1"/>
        <v/>
      </c>
      <c r="K42" s="7">
        <v>267</v>
      </c>
      <c r="L42" s="1">
        <v>115</v>
      </c>
      <c r="M42" t="str">
        <f t="shared" si="5"/>
        <v/>
      </c>
      <c r="Q42">
        <v>2.82</v>
      </c>
      <c r="T42">
        <v>5</v>
      </c>
      <c r="U42">
        <v>1</v>
      </c>
    </row>
    <row r="43" spans="1:22" x14ac:dyDescent="0.35">
      <c r="A43" s="4">
        <v>44767.465277777781</v>
      </c>
      <c r="F43" s="15">
        <f>+E41-F41*A41</f>
        <v>54176.37124138666</v>
      </c>
      <c r="G43" t="str">
        <f t="shared" si="0"/>
        <v/>
      </c>
      <c r="I43" t="str">
        <f t="shared" si="1"/>
        <v/>
      </c>
      <c r="K43" s="7">
        <v>0</v>
      </c>
      <c r="L43">
        <v>0</v>
      </c>
      <c r="M43" t="str">
        <f t="shared" si="5"/>
        <v/>
      </c>
      <c r="T43">
        <v>5</v>
      </c>
      <c r="U43">
        <v>1</v>
      </c>
      <c r="V43" t="s">
        <v>21</v>
      </c>
    </row>
    <row r="44" spans="1:22" x14ac:dyDescent="0.35">
      <c r="A44" s="6">
        <v>44768.395833333336</v>
      </c>
      <c r="E44" s="9">
        <v>28</v>
      </c>
      <c r="F44" s="9"/>
      <c r="G44">
        <f t="shared" si="0"/>
        <v>22</v>
      </c>
      <c r="I44">
        <f t="shared" si="1"/>
        <v>46.535494720000003</v>
      </c>
      <c r="K44" s="7">
        <v>0</v>
      </c>
      <c r="L44">
        <v>0</v>
      </c>
      <c r="M44">
        <f t="shared" si="5"/>
        <v>46535.494720000002</v>
      </c>
      <c r="T44">
        <v>5</v>
      </c>
      <c r="U44">
        <v>1</v>
      </c>
    </row>
    <row r="45" spans="1:22" x14ac:dyDescent="0.35">
      <c r="A45" s="6">
        <v>44774.583333333336</v>
      </c>
      <c r="E45" s="9">
        <v>28</v>
      </c>
      <c r="F45" s="9"/>
      <c r="G45">
        <f t="shared" si="0"/>
        <v>22</v>
      </c>
      <c r="I45">
        <f t="shared" si="1"/>
        <v>46.535494720000003</v>
      </c>
      <c r="K45" s="7">
        <v>0</v>
      </c>
      <c r="M45">
        <f t="shared" si="5"/>
        <v>46535.494720000002</v>
      </c>
      <c r="T45">
        <v>5</v>
      </c>
      <c r="U45">
        <v>1</v>
      </c>
      <c r="V45" t="s">
        <v>148</v>
      </c>
    </row>
    <row r="46" spans="1:22" x14ac:dyDescent="0.35">
      <c r="A46" s="6">
        <v>44782.583333333336</v>
      </c>
      <c r="E46" s="9">
        <v>45</v>
      </c>
      <c r="F46" s="9"/>
      <c r="G46">
        <f t="shared" si="0"/>
        <v>5</v>
      </c>
      <c r="I46">
        <f t="shared" si="1"/>
        <v>10.576248800000002</v>
      </c>
      <c r="K46" s="7">
        <v>0</v>
      </c>
      <c r="M46">
        <f t="shared" si="5"/>
        <v>10576.248800000001</v>
      </c>
      <c r="T46">
        <v>5</v>
      </c>
      <c r="U46">
        <v>1</v>
      </c>
      <c r="V46" t="s">
        <v>147</v>
      </c>
    </row>
    <row r="47" spans="1:22" x14ac:dyDescent="0.35">
      <c r="A47" s="20"/>
      <c r="G47" t="str">
        <f t="shared" si="0"/>
        <v/>
      </c>
      <c r="I47" t="str">
        <f t="shared" si="1"/>
        <v/>
      </c>
      <c r="M47" t="str">
        <f t="shared" si="5"/>
        <v/>
      </c>
      <c r="R47">
        <v>202279.1</v>
      </c>
      <c r="V47" t="s">
        <v>28</v>
      </c>
    </row>
    <row r="48" spans="1:22" x14ac:dyDescent="0.35">
      <c r="A48" s="4">
        <v>44782.416666666664</v>
      </c>
      <c r="E48" s="7">
        <v>45</v>
      </c>
      <c r="G48">
        <f t="shared" si="0"/>
        <v>5</v>
      </c>
      <c r="I48">
        <f t="shared" si="1"/>
        <v>10.576248800000002</v>
      </c>
      <c r="M48">
        <f t="shared" si="5"/>
        <v>10576.248800000001</v>
      </c>
      <c r="T48">
        <v>5</v>
      </c>
      <c r="U48">
        <v>2</v>
      </c>
    </row>
    <row r="49" spans="1:22" x14ac:dyDescent="0.35">
      <c r="A49" s="4">
        <v>44784.625</v>
      </c>
      <c r="E49" s="7"/>
      <c r="K49" s="7">
        <v>0</v>
      </c>
      <c r="T49">
        <v>5</v>
      </c>
      <c r="U49">
        <v>2</v>
      </c>
      <c r="V49" t="s">
        <v>63</v>
      </c>
    </row>
    <row r="50" spans="1:22" x14ac:dyDescent="0.35">
      <c r="A50" s="4">
        <v>44784.708333333336</v>
      </c>
      <c r="G50" t="str">
        <f t="shared" si="0"/>
        <v/>
      </c>
      <c r="I50" t="str">
        <f t="shared" si="1"/>
        <v/>
      </c>
      <c r="K50" s="7">
        <v>95</v>
      </c>
      <c r="L50" s="1">
        <v>30</v>
      </c>
      <c r="M50" t="str">
        <f t="shared" si="5"/>
        <v/>
      </c>
      <c r="Q50">
        <v>1.23</v>
      </c>
      <c r="T50">
        <v>5</v>
      </c>
      <c r="U50">
        <v>2</v>
      </c>
      <c r="V50" t="s">
        <v>66</v>
      </c>
    </row>
    <row r="51" spans="1:22" x14ac:dyDescent="0.35">
      <c r="A51" s="4">
        <v>44788.333333333336</v>
      </c>
      <c r="K51" s="7">
        <v>95</v>
      </c>
      <c r="L51" s="1"/>
      <c r="T51">
        <v>5</v>
      </c>
      <c r="U51">
        <v>2</v>
      </c>
      <c r="V51" t="s">
        <v>67</v>
      </c>
    </row>
    <row r="52" spans="1:22" x14ac:dyDescent="0.35">
      <c r="A52" s="4">
        <v>44788.416666666664</v>
      </c>
      <c r="G52" t="str">
        <f t="shared" si="0"/>
        <v/>
      </c>
      <c r="I52" t="str">
        <f t="shared" si="1"/>
        <v/>
      </c>
      <c r="K52" s="7">
        <v>304</v>
      </c>
      <c r="L52" s="18">
        <f>1.1257*A52-50384</f>
        <v>34.320641666658048</v>
      </c>
      <c r="M52" t="str">
        <f t="shared" si="5"/>
        <v/>
      </c>
      <c r="T52">
        <v>5</v>
      </c>
      <c r="U52">
        <v>2</v>
      </c>
      <c r="V52" t="s">
        <v>67</v>
      </c>
    </row>
    <row r="53" spans="1:22" x14ac:dyDescent="0.35">
      <c r="A53" s="3">
        <v>44789.395833333336</v>
      </c>
      <c r="E53" s="5">
        <v>43</v>
      </c>
      <c r="G53">
        <f t="shared" si="0"/>
        <v>7</v>
      </c>
      <c r="I53">
        <f t="shared" si="1"/>
        <v>14.806748320000002</v>
      </c>
      <c r="K53" s="19">
        <v>304</v>
      </c>
      <c r="L53" s="18">
        <f t="shared" ref="L53:L58" si="6">1.1257*A53-50384</f>
        <v>35.422889583329379</v>
      </c>
      <c r="M53">
        <f t="shared" si="5"/>
        <v>14806.748320000002</v>
      </c>
      <c r="T53">
        <v>5</v>
      </c>
      <c r="U53">
        <v>2</v>
      </c>
    </row>
    <row r="54" spans="1:22" x14ac:dyDescent="0.35">
      <c r="A54" s="4">
        <v>44792.493055555555</v>
      </c>
      <c r="E54" s="5"/>
      <c r="K54" s="19">
        <v>304</v>
      </c>
      <c r="L54" s="18"/>
      <c r="T54">
        <v>5</v>
      </c>
      <c r="U54">
        <v>2</v>
      </c>
      <c r="V54" t="s">
        <v>79</v>
      </c>
    </row>
    <row r="55" spans="1:22" x14ac:dyDescent="0.35">
      <c r="A55" s="4">
        <v>44792.5</v>
      </c>
      <c r="E55" s="7"/>
      <c r="G55" t="str">
        <f t="shared" si="0"/>
        <v/>
      </c>
      <c r="I55" t="str">
        <f t="shared" si="1"/>
        <v/>
      </c>
      <c r="K55" s="9">
        <v>302</v>
      </c>
      <c r="L55" s="18">
        <f t="shared" si="6"/>
        <v>38.917249999998603</v>
      </c>
      <c r="M55" t="str">
        <f t="shared" si="5"/>
        <v/>
      </c>
      <c r="T55">
        <v>5</v>
      </c>
      <c r="U55">
        <v>2</v>
      </c>
      <c r="V55" t="s">
        <v>133</v>
      </c>
    </row>
    <row r="56" spans="1:22" x14ac:dyDescent="0.35">
      <c r="A56" s="4">
        <v>44795.493055555555</v>
      </c>
      <c r="E56" s="7"/>
      <c r="K56" s="9">
        <v>302</v>
      </c>
      <c r="L56" s="18">
        <v>40</v>
      </c>
      <c r="Q56">
        <v>1.64</v>
      </c>
      <c r="T56">
        <v>5</v>
      </c>
      <c r="U56">
        <v>2</v>
      </c>
      <c r="V56" t="s">
        <v>83</v>
      </c>
    </row>
    <row r="57" spans="1:22" x14ac:dyDescent="0.35">
      <c r="A57" s="4">
        <v>44795.5</v>
      </c>
      <c r="E57" s="7"/>
      <c r="G57" t="str">
        <f t="shared" si="0"/>
        <v/>
      </c>
      <c r="I57" t="str">
        <f t="shared" si="1"/>
        <v/>
      </c>
      <c r="K57" s="9">
        <v>301</v>
      </c>
      <c r="L57" s="18">
        <f t="shared" si="6"/>
        <v>42.294349999996484</v>
      </c>
      <c r="M57" t="str">
        <f t="shared" si="5"/>
        <v/>
      </c>
      <c r="T57">
        <v>5</v>
      </c>
      <c r="U57">
        <v>2</v>
      </c>
      <c r="V57" t="s">
        <v>106</v>
      </c>
    </row>
    <row r="58" spans="1:22" x14ac:dyDescent="0.35">
      <c r="A58" s="4">
        <v>44795.520833333336</v>
      </c>
      <c r="E58" s="7"/>
      <c r="G58" t="str">
        <f t="shared" si="0"/>
        <v/>
      </c>
      <c r="I58" t="str">
        <f t="shared" si="1"/>
        <v/>
      </c>
      <c r="K58" s="9">
        <v>291</v>
      </c>
      <c r="L58" s="18">
        <f t="shared" si="6"/>
        <v>42.317802083329298</v>
      </c>
      <c r="M58" t="str">
        <f t="shared" si="5"/>
        <v/>
      </c>
      <c r="T58">
        <v>5</v>
      </c>
      <c r="U58">
        <v>2</v>
      </c>
      <c r="V58" t="s">
        <v>134</v>
      </c>
    </row>
    <row r="59" spans="1:22" x14ac:dyDescent="0.35">
      <c r="A59" s="4">
        <v>44796.493055555555</v>
      </c>
      <c r="E59" s="7"/>
      <c r="K59" s="9">
        <v>291</v>
      </c>
      <c r="L59" s="18"/>
      <c r="T59">
        <v>5</v>
      </c>
      <c r="U59">
        <v>2</v>
      </c>
      <c r="V59" t="s">
        <v>135</v>
      </c>
    </row>
    <row r="60" spans="1:22" x14ac:dyDescent="0.35">
      <c r="A60" s="4">
        <v>44796.5</v>
      </c>
      <c r="E60" s="7"/>
      <c r="G60" t="str">
        <f t="shared" si="0"/>
        <v/>
      </c>
      <c r="I60" t="str">
        <f t="shared" si="1"/>
        <v/>
      </c>
      <c r="K60" s="9">
        <v>292</v>
      </c>
      <c r="L60" s="18">
        <f>1.1257*A60-50384</f>
        <v>43.420049999993353</v>
      </c>
      <c r="M60" t="str">
        <f t="shared" si="5"/>
        <v/>
      </c>
      <c r="T60">
        <v>5</v>
      </c>
      <c r="U60">
        <v>2</v>
      </c>
      <c r="V60" t="s">
        <v>136</v>
      </c>
    </row>
    <row r="61" spans="1:22" x14ac:dyDescent="0.35">
      <c r="A61" s="3">
        <v>44796.520833333336</v>
      </c>
      <c r="E61" s="5">
        <v>40</v>
      </c>
      <c r="G61">
        <f t="shared" si="0"/>
        <v>10</v>
      </c>
      <c r="I61">
        <f t="shared" si="1"/>
        <v>21.152497600000004</v>
      </c>
      <c r="K61" s="5">
        <v>288</v>
      </c>
      <c r="L61" s="18">
        <f>1.1257*A61-50384</f>
        <v>43.443502083333442</v>
      </c>
      <c r="M61">
        <f t="shared" si="5"/>
        <v>21152.497600000002</v>
      </c>
      <c r="T61">
        <v>5</v>
      </c>
      <c r="U61">
        <v>2</v>
      </c>
      <c r="V61" t="s">
        <v>137</v>
      </c>
    </row>
    <row r="62" spans="1:22" x14ac:dyDescent="0.35">
      <c r="A62" s="4">
        <v>44799.493055555555</v>
      </c>
      <c r="E62" s="5"/>
      <c r="K62" s="5">
        <v>288</v>
      </c>
      <c r="L62" s="18"/>
      <c r="T62">
        <v>5</v>
      </c>
      <c r="U62">
        <v>2</v>
      </c>
      <c r="V62" t="s">
        <v>83</v>
      </c>
    </row>
    <row r="63" spans="1:22" x14ac:dyDescent="0.35">
      <c r="A63" s="4">
        <v>44799.5</v>
      </c>
      <c r="B63" s="7"/>
      <c r="G63" t="str">
        <f t="shared" si="0"/>
        <v/>
      </c>
      <c r="I63" t="str">
        <f t="shared" si="1"/>
        <v/>
      </c>
      <c r="K63" s="7">
        <v>286</v>
      </c>
      <c r="L63" s="18">
        <f>1.1257*A63-50384</f>
        <v>46.79714999999851</v>
      </c>
      <c r="M63" t="str">
        <f t="shared" si="5"/>
        <v/>
      </c>
      <c r="T63">
        <v>5</v>
      </c>
      <c r="U63">
        <v>2</v>
      </c>
      <c r="V63" t="s">
        <v>138</v>
      </c>
    </row>
    <row r="64" spans="1:22" x14ac:dyDescent="0.35">
      <c r="A64" s="4">
        <v>44801.493055555555</v>
      </c>
      <c r="B64" s="7"/>
      <c r="K64" s="7">
        <v>286</v>
      </c>
      <c r="L64" s="18"/>
      <c r="T64">
        <v>5</v>
      </c>
      <c r="U64">
        <v>2</v>
      </c>
      <c r="V64" t="s">
        <v>83</v>
      </c>
    </row>
    <row r="65" spans="1:22" x14ac:dyDescent="0.35">
      <c r="A65" s="4">
        <v>44801.5</v>
      </c>
      <c r="B65" s="7"/>
      <c r="G65" t="str">
        <f t="shared" si="0"/>
        <v/>
      </c>
      <c r="I65" t="str">
        <f t="shared" si="1"/>
        <v/>
      </c>
      <c r="K65" s="7">
        <v>284</v>
      </c>
      <c r="L65" s="18">
        <f>1.1257*A65-50384</f>
        <v>49.048549999999523</v>
      </c>
      <c r="M65" t="str">
        <f t="shared" si="5"/>
        <v/>
      </c>
      <c r="T65">
        <v>5</v>
      </c>
      <c r="U65">
        <v>2</v>
      </c>
      <c r="V65" t="s">
        <v>138</v>
      </c>
    </row>
    <row r="66" spans="1:22" x14ac:dyDescent="0.35">
      <c r="A66" s="3">
        <v>44803.402777777781</v>
      </c>
      <c r="E66" s="5">
        <v>38</v>
      </c>
      <c r="F66" s="9">
        <f>+(E66-E61)/(A66-A61)</f>
        <v>-0.29061553985869443</v>
      </c>
      <c r="G66">
        <f t="shared" si="0"/>
        <v>12</v>
      </c>
      <c r="I66">
        <f t="shared" si="1"/>
        <v>25.382997119999999</v>
      </c>
      <c r="L66" s="18">
        <f>1.1257*A66-50384</f>
        <v>51.190506944447407</v>
      </c>
      <c r="M66">
        <f t="shared" si="5"/>
        <v>25382.99712</v>
      </c>
      <c r="Q66">
        <v>1.99</v>
      </c>
      <c r="T66">
        <v>5</v>
      </c>
      <c r="U66">
        <v>2</v>
      </c>
    </row>
    <row r="67" spans="1:22" x14ac:dyDescent="0.35">
      <c r="A67" s="3">
        <v>44803.479166666664</v>
      </c>
      <c r="E67">
        <f>+F66*A67+F67</f>
        <v>37.977800201817445</v>
      </c>
      <c r="F67" s="15">
        <f>+E66-F66*A66</f>
        <v>13058.565085770419</v>
      </c>
      <c r="G67">
        <f t="shared" si="0"/>
        <v>12.022199798182555</v>
      </c>
      <c r="I67">
        <f t="shared" si="1"/>
        <v>25.429955237777698</v>
      </c>
      <c r="L67" s="18">
        <f>1.1257*A67-50384</f>
        <v>51.276497916660446</v>
      </c>
      <c r="M67">
        <f t="shared" si="5"/>
        <v>25429.955237777696</v>
      </c>
      <c r="T67">
        <v>5</v>
      </c>
      <c r="U67">
        <v>2</v>
      </c>
      <c r="V67" t="s">
        <v>29</v>
      </c>
    </row>
    <row r="68" spans="1:22" x14ac:dyDescent="0.35">
      <c r="A68" s="3">
        <v>44803.541666666664</v>
      </c>
      <c r="E68" s="5">
        <v>40</v>
      </c>
      <c r="G68">
        <f t="shared" si="0"/>
        <v>10</v>
      </c>
      <c r="I68">
        <f t="shared" si="1"/>
        <v>21.152497600000004</v>
      </c>
      <c r="L68" s="18">
        <f>1.1257*A68-50384</f>
        <v>51.346854166658886</v>
      </c>
      <c r="M68">
        <f t="shared" si="5"/>
        <v>21152.497600000002</v>
      </c>
      <c r="T68">
        <v>5</v>
      </c>
      <c r="U68">
        <v>2</v>
      </c>
    </row>
    <row r="69" spans="1:22" x14ac:dyDescent="0.35">
      <c r="A69" s="4">
        <v>44806.493055555555</v>
      </c>
      <c r="E69" s="5"/>
      <c r="K69">
        <v>284</v>
      </c>
      <c r="L69" s="18"/>
      <c r="T69">
        <v>5</v>
      </c>
      <c r="U69">
        <v>2</v>
      </c>
      <c r="V69" t="s">
        <v>83</v>
      </c>
    </row>
    <row r="70" spans="1:22" x14ac:dyDescent="0.35">
      <c r="A70" s="4">
        <v>44806.5</v>
      </c>
      <c r="B70" s="7"/>
      <c r="G70" t="str">
        <f t="shared" si="0"/>
        <v/>
      </c>
      <c r="I70" t="str">
        <f t="shared" si="1"/>
        <v/>
      </c>
      <c r="K70" s="7">
        <v>283</v>
      </c>
      <c r="L70" s="18">
        <f>1.1257*A70-50384</f>
        <v>54.677049999998417</v>
      </c>
      <c r="M70" t="str">
        <f t="shared" si="5"/>
        <v/>
      </c>
      <c r="T70">
        <v>5</v>
      </c>
      <c r="U70">
        <v>2</v>
      </c>
      <c r="V70" t="s">
        <v>106</v>
      </c>
    </row>
    <row r="71" spans="1:22" x14ac:dyDescent="0.35">
      <c r="A71" s="4">
        <v>44808.493055555555</v>
      </c>
      <c r="B71" s="7"/>
      <c r="K71" s="7">
        <v>283</v>
      </c>
      <c r="L71" s="18"/>
      <c r="T71">
        <v>5</v>
      </c>
      <c r="U71">
        <v>2</v>
      </c>
      <c r="V71" t="s">
        <v>83</v>
      </c>
    </row>
    <row r="72" spans="1:22" x14ac:dyDescent="0.35">
      <c r="A72" s="4">
        <v>44808.5</v>
      </c>
      <c r="B72" s="7"/>
      <c r="G72" t="str">
        <f t="shared" si="0"/>
        <v/>
      </c>
      <c r="I72" t="str">
        <f t="shared" si="1"/>
        <v/>
      </c>
      <c r="K72" s="7">
        <v>282</v>
      </c>
      <c r="L72" s="18">
        <f>1.1257*A72-50384</f>
        <v>56.92844999999943</v>
      </c>
      <c r="M72" t="str">
        <f t="shared" si="5"/>
        <v/>
      </c>
      <c r="T72">
        <v>5</v>
      </c>
      <c r="U72">
        <v>2</v>
      </c>
      <c r="V72" t="s">
        <v>106</v>
      </c>
    </row>
    <row r="73" spans="1:22" x14ac:dyDescent="0.35">
      <c r="A73" s="4">
        <v>44809.493055555555</v>
      </c>
      <c r="B73" s="7"/>
      <c r="K73" s="7">
        <v>282</v>
      </c>
      <c r="L73" s="18"/>
      <c r="T73">
        <v>5</v>
      </c>
      <c r="U73">
        <v>2</v>
      </c>
      <c r="V73" t="s">
        <v>83</v>
      </c>
    </row>
    <row r="74" spans="1:22" x14ac:dyDescent="0.35">
      <c r="A74" s="4">
        <v>44809.5</v>
      </c>
      <c r="B74" s="7"/>
      <c r="G74" t="str">
        <f t="shared" si="0"/>
        <v/>
      </c>
      <c r="I74" t="str">
        <f t="shared" si="1"/>
        <v/>
      </c>
      <c r="K74" s="7">
        <v>281</v>
      </c>
      <c r="L74" s="18">
        <f>1.1257*A74-50384</f>
        <v>58.054149999996298</v>
      </c>
      <c r="M74" t="str">
        <f t="shared" si="5"/>
        <v/>
      </c>
      <c r="T74">
        <v>5</v>
      </c>
      <c r="U74">
        <v>2</v>
      </c>
      <c r="V74" t="s">
        <v>139</v>
      </c>
    </row>
    <row r="75" spans="1:22" x14ac:dyDescent="0.35">
      <c r="A75" s="3">
        <v>44811.416666666664</v>
      </c>
      <c r="E75" s="5">
        <v>36</v>
      </c>
      <c r="G75">
        <f t="shared" si="0"/>
        <v>14</v>
      </c>
      <c r="I75">
        <f t="shared" si="1"/>
        <v>29.613496640000005</v>
      </c>
      <c r="K75" s="8">
        <v>281</v>
      </c>
      <c r="L75" s="18">
        <f>1.1257*A75-50384</f>
        <v>60.211741666658781</v>
      </c>
      <c r="M75">
        <f t="shared" si="5"/>
        <v>29613.496640000005</v>
      </c>
      <c r="Q75">
        <v>2.2999999999999998</v>
      </c>
      <c r="T75">
        <v>5</v>
      </c>
      <c r="U75">
        <v>2</v>
      </c>
      <c r="V75" t="s">
        <v>30</v>
      </c>
    </row>
    <row r="76" spans="1:22" x14ac:dyDescent="0.35">
      <c r="A76" s="4">
        <v>44812.493055555555</v>
      </c>
      <c r="E76" s="5"/>
      <c r="K76" s="8">
        <v>281</v>
      </c>
      <c r="L76" s="18"/>
      <c r="T76">
        <v>5</v>
      </c>
      <c r="U76">
        <v>2</v>
      </c>
      <c r="V76" t="s">
        <v>83</v>
      </c>
    </row>
    <row r="77" spans="1:22" x14ac:dyDescent="0.35">
      <c r="A77" s="4">
        <v>44812.5</v>
      </c>
      <c r="E77" s="7"/>
      <c r="G77" t="str">
        <f t="shared" si="0"/>
        <v/>
      </c>
      <c r="I77" t="str">
        <f t="shared" si="1"/>
        <v/>
      </c>
      <c r="K77" s="9">
        <v>278</v>
      </c>
      <c r="L77" s="18">
        <f>1.1257*A77-50384</f>
        <v>61.431249999994179</v>
      </c>
      <c r="M77" t="str">
        <f t="shared" si="5"/>
        <v/>
      </c>
      <c r="T77">
        <v>5</v>
      </c>
      <c r="U77">
        <v>2</v>
      </c>
      <c r="V77" t="s">
        <v>140</v>
      </c>
    </row>
    <row r="78" spans="1:22" x14ac:dyDescent="0.35">
      <c r="A78" s="4">
        <v>44815.493055555555</v>
      </c>
      <c r="E78" s="7"/>
      <c r="K78" s="9">
        <v>278</v>
      </c>
      <c r="L78" s="18"/>
      <c r="T78">
        <v>5</v>
      </c>
      <c r="U78">
        <v>2</v>
      </c>
      <c r="V78" t="s">
        <v>83</v>
      </c>
    </row>
    <row r="79" spans="1:22" x14ac:dyDescent="0.35">
      <c r="A79" s="4">
        <v>44815.5</v>
      </c>
      <c r="E79" s="7"/>
      <c r="G79" t="str">
        <f t="shared" si="0"/>
        <v/>
      </c>
      <c r="I79" t="str">
        <f t="shared" si="1"/>
        <v/>
      </c>
      <c r="K79" s="17">
        <v>277</v>
      </c>
      <c r="L79" s="18">
        <f>1.1257*A79-50384</f>
        <v>64.808349999999336</v>
      </c>
      <c r="M79" t="str">
        <f t="shared" si="5"/>
        <v/>
      </c>
      <c r="T79">
        <v>5</v>
      </c>
      <c r="U79">
        <v>2</v>
      </c>
      <c r="V79" t="s">
        <v>139</v>
      </c>
    </row>
    <row r="80" spans="1:22" x14ac:dyDescent="0.35">
      <c r="A80" s="3">
        <v>44819.402777777781</v>
      </c>
      <c r="E80" s="7"/>
      <c r="K80" s="17">
        <v>277</v>
      </c>
      <c r="L80" s="18"/>
      <c r="T80">
        <v>5</v>
      </c>
      <c r="U80">
        <v>2</v>
      </c>
      <c r="V80" t="s">
        <v>142</v>
      </c>
    </row>
    <row r="81" spans="1:22" x14ac:dyDescent="0.35">
      <c r="A81" s="3">
        <v>44819.416666666664</v>
      </c>
      <c r="E81" s="5">
        <v>34</v>
      </c>
      <c r="G81">
        <f t="shared" si="0"/>
        <v>16</v>
      </c>
      <c r="I81">
        <f t="shared" si="1"/>
        <v>33.843996160000003</v>
      </c>
      <c r="K81" s="8">
        <v>272</v>
      </c>
      <c r="L81" s="18">
        <f t="shared" ref="L81:L86" si="7">1.1257*A81-50384</f>
        <v>69.217341666662833</v>
      </c>
      <c r="M81">
        <f t="shared" si="5"/>
        <v>33843.996160000002</v>
      </c>
      <c r="Q81">
        <v>2.5499999999999998</v>
      </c>
      <c r="T81">
        <v>5</v>
      </c>
      <c r="U81">
        <v>2</v>
      </c>
      <c r="V81" t="s">
        <v>141</v>
      </c>
    </row>
    <row r="82" spans="1:22" x14ac:dyDescent="0.35">
      <c r="A82" s="3">
        <v>44824.416666666664</v>
      </c>
      <c r="E82" s="5">
        <v>29</v>
      </c>
      <c r="G82">
        <f t="shared" si="0"/>
        <v>21</v>
      </c>
      <c r="I82">
        <f t="shared" si="1"/>
        <v>44.420244959999998</v>
      </c>
      <c r="K82" s="5">
        <v>272</v>
      </c>
      <c r="L82" s="18">
        <f t="shared" si="7"/>
        <v>74.845841666661727</v>
      </c>
      <c r="M82">
        <f t="shared" si="5"/>
        <v>44420.244959999996</v>
      </c>
      <c r="T82">
        <v>5</v>
      </c>
      <c r="U82">
        <v>2</v>
      </c>
    </row>
    <row r="83" spans="1:22" x14ac:dyDescent="0.35">
      <c r="A83" s="3">
        <v>44831.4375</v>
      </c>
      <c r="E83" s="5">
        <v>25</v>
      </c>
      <c r="F83" s="9">
        <f>+(E83-E81)/(A83-A81)</f>
        <v>-0.74870017331007421</v>
      </c>
      <c r="G83">
        <f t="shared" si="0"/>
        <v>25</v>
      </c>
      <c r="I83">
        <f t="shared" si="1"/>
        <v>52.881244000000002</v>
      </c>
      <c r="K83" s="5">
        <v>272</v>
      </c>
      <c r="L83" s="18">
        <f t="shared" si="7"/>
        <v>82.749193749994447</v>
      </c>
      <c r="M83">
        <f t="shared" si="5"/>
        <v>52881.243999999999</v>
      </c>
      <c r="Q83">
        <v>2.74</v>
      </c>
      <c r="T83">
        <v>5</v>
      </c>
      <c r="U83">
        <v>2</v>
      </c>
      <c r="V83" t="s">
        <v>31</v>
      </c>
    </row>
    <row r="84" spans="1:22" x14ac:dyDescent="0.35">
      <c r="A84" s="3">
        <v>44831.4375</v>
      </c>
      <c r="B84" s="5"/>
      <c r="C84" s="7"/>
      <c r="E84" s="5">
        <v>25</v>
      </c>
      <c r="F84" s="15">
        <f>+E83-F83*A83</f>
        <v>33590.305025989757</v>
      </c>
      <c r="G84">
        <f t="shared" si="0"/>
        <v>25</v>
      </c>
      <c r="I84">
        <f t="shared" si="1"/>
        <v>52.881244000000002</v>
      </c>
      <c r="L84" s="18">
        <f t="shared" si="7"/>
        <v>82.749193749994447</v>
      </c>
      <c r="M84">
        <f t="shared" si="5"/>
        <v>52881.243999999999</v>
      </c>
      <c r="T84">
        <v>5</v>
      </c>
      <c r="U84">
        <v>2</v>
      </c>
    </row>
    <row r="85" spans="1:22" x14ac:dyDescent="0.35">
      <c r="A85" s="3">
        <v>44831.489583333336</v>
      </c>
      <c r="E85">
        <f>+F83*A85+F84</f>
        <v>24.961005199300416</v>
      </c>
      <c r="G85">
        <f t="shared" si="0"/>
        <v>25.038994800699584</v>
      </c>
      <c r="I85">
        <f t="shared" si="1"/>
        <v>52.963727742821042</v>
      </c>
      <c r="L85" s="18">
        <f t="shared" si="7"/>
        <v>82.807823958333756</v>
      </c>
      <c r="M85">
        <f t="shared" si="5"/>
        <v>52963.727742821044</v>
      </c>
      <c r="T85">
        <v>5</v>
      </c>
      <c r="U85">
        <v>2</v>
      </c>
      <c r="V85" t="s">
        <v>29</v>
      </c>
    </row>
    <row r="86" spans="1:22" x14ac:dyDescent="0.35">
      <c r="A86" s="3">
        <v>44831.552083333336</v>
      </c>
      <c r="E86" s="5">
        <v>45</v>
      </c>
      <c r="G86">
        <f t="shared" si="0"/>
        <v>5</v>
      </c>
      <c r="I86">
        <f t="shared" si="1"/>
        <v>10.576248800000002</v>
      </c>
      <c r="L86" s="18">
        <f t="shared" si="7"/>
        <v>82.878180208332196</v>
      </c>
      <c r="M86">
        <f t="shared" si="5"/>
        <v>10576.248800000001</v>
      </c>
      <c r="T86">
        <v>5</v>
      </c>
      <c r="U86">
        <v>2</v>
      </c>
    </row>
    <row r="87" spans="1:22" x14ac:dyDescent="0.35">
      <c r="A87" s="6">
        <v>44841.493055555555</v>
      </c>
      <c r="E87" s="5"/>
      <c r="K87">
        <v>272</v>
      </c>
      <c r="L87" s="18">
        <v>90</v>
      </c>
      <c r="Q87">
        <v>2.86</v>
      </c>
      <c r="T87">
        <v>5</v>
      </c>
      <c r="U87">
        <v>2</v>
      </c>
      <c r="V87" t="s">
        <v>143</v>
      </c>
    </row>
    <row r="88" spans="1:22" x14ac:dyDescent="0.35">
      <c r="A88" s="6">
        <v>44841.5</v>
      </c>
      <c r="B88" s="3"/>
      <c r="D88" s="3"/>
      <c r="E88" s="5"/>
      <c r="G88" t="str">
        <f t="shared" si="0"/>
        <v/>
      </c>
      <c r="I88" t="str">
        <f t="shared" si="1"/>
        <v/>
      </c>
      <c r="K88" s="7">
        <v>271</v>
      </c>
      <c r="L88" s="18">
        <f>1.1257*A88-50384</f>
        <v>94.076549999997951</v>
      </c>
      <c r="M88" t="str">
        <f t="shared" si="5"/>
        <v/>
      </c>
      <c r="T88">
        <v>5</v>
      </c>
      <c r="U88">
        <v>2</v>
      </c>
      <c r="V88" t="s">
        <v>106</v>
      </c>
    </row>
    <row r="89" spans="1:22" x14ac:dyDescent="0.35">
      <c r="A89" s="3">
        <v>44845.354166666664</v>
      </c>
      <c r="C89" s="7"/>
      <c r="E89" s="5">
        <v>34</v>
      </c>
      <c r="F89" s="9">
        <f>+(E89-E86)/(A89-A86)</f>
        <v>-0.79698113207575183</v>
      </c>
      <c r="G89">
        <f t="shared" si="0"/>
        <v>16</v>
      </c>
      <c r="I89">
        <f t="shared" si="1"/>
        <v>33.843996160000003</v>
      </c>
      <c r="K89" s="8">
        <v>270</v>
      </c>
      <c r="L89" s="18">
        <f>1.1257*A89-50384</f>
        <v>98.415185416663007</v>
      </c>
      <c r="M89">
        <f t="shared" si="5"/>
        <v>33843.996160000002</v>
      </c>
      <c r="T89">
        <v>5</v>
      </c>
      <c r="U89">
        <v>2</v>
      </c>
      <c r="V89" t="s">
        <v>32</v>
      </c>
    </row>
    <row r="90" spans="1:22" x14ac:dyDescent="0.35">
      <c r="A90" s="3">
        <v>44845.354166666664</v>
      </c>
      <c r="B90" s="7"/>
      <c r="E90" s="5">
        <v>34</v>
      </c>
      <c r="F90" s="15">
        <f>+E89-F89*A89</f>
        <v>35774.901132088031</v>
      </c>
      <c r="G90">
        <f t="shared" si="0"/>
        <v>16</v>
      </c>
      <c r="I90">
        <f t="shared" si="1"/>
        <v>33.843996160000003</v>
      </c>
      <c r="L90" s="18">
        <f>1.1257*A90-50384</f>
        <v>98.415185416663007</v>
      </c>
      <c r="M90">
        <f t="shared" si="5"/>
        <v>33843.996160000002</v>
      </c>
      <c r="T90">
        <v>5</v>
      </c>
      <c r="U90">
        <v>2</v>
      </c>
    </row>
    <row r="91" spans="1:22" x14ac:dyDescent="0.35">
      <c r="A91" s="3">
        <v>44845.479166666664</v>
      </c>
      <c r="E91">
        <f>+F89*A91+F90</f>
        <v>33.900377358491824</v>
      </c>
      <c r="G91">
        <f t="shared" si="0"/>
        <v>16.099622641508176</v>
      </c>
      <c r="I91">
        <f t="shared" si="1"/>
        <v>34.054722928540741</v>
      </c>
      <c r="L91" s="18">
        <f>1.1257*A91-50384</f>
        <v>98.555897916659887</v>
      </c>
      <c r="M91">
        <f t="shared" si="5"/>
        <v>34054.722928540737</v>
      </c>
      <c r="T91">
        <v>5</v>
      </c>
      <c r="U91">
        <v>2</v>
      </c>
      <c r="V91" t="s">
        <v>29</v>
      </c>
    </row>
    <row r="92" spans="1:22" x14ac:dyDescent="0.35">
      <c r="A92" s="3">
        <v>44845.5</v>
      </c>
      <c r="E92" s="5">
        <v>47</v>
      </c>
      <c r="G92">
        <f t="shared" si="0"/>
        <v>3</v>
      </c>
      <c r="I92">
        <f t="shared" ref="I92:I171" si="8">+IF(ISBLANK(E92),"",(G92/100)*$C$2)</f>
        <v>6.3457492799999997</v>
      </c>
      <c r="L92" s="18">
        <f>1.1257*A92-50384</f>
        <v>98.579349999999977</v>
      </c>
      <c r="M92">
        <f t="shared" ref="M92:M171" si="9">IF(ISBLANK(E92),"",+I92*$H$2)</f>
        <v>6345.74928</v>
      </c>
      <c r="T92">
        <v>5</v>
      </c>
      <c r="U92">
        <v>2</v>
      </c>
    </row>
    <row r="93" spans="1:22" x14ac:dyDescent="0.35">
      <c r="A93" s="4">
        <v>44851.5</v>
      </c>
      <c r="E93" s="5"/>
      <c r="K93">
        <v>270</v>
      </c>
      <c r="L93" s="18">
        <v>100</v>
      </c>
      <c r="Q93">
        <v>2.91</v>
      </c>
      <c r="T93">
        <v>5</v>
      </c>
      <c r="U93">
        <v>2</v>
      </c>
      <c r="V93" t="s">
        <v>83</v>
      </c>
    </row>
    <row r="94" spans="1:22" x14ac:dyDescent="0.35">
      <c r="A94" s="4">
        <v>44851.493055555555</v>
      </c>
      <c r="B94" s="7"/>
      <c r="D94" s="3"/>
      <c r="E94" s="5"/>
      <c r="G94" t="str">
        <f t="shared" ref="G94:G172" si="10">IF(ISBLANK(E94),"",+$B$2-E94)</f>
        <v/>
      </c>
      <c r="I94" t="str">
        <f t="shared" si="8"/>
        <v/>
      </c>
      <c r="K94" s="7">
        <v>269</v>
      </c>
      <c r="L94" s="18">
        <f>1.1257*A94-50384</f>
        <v>105.3257326388848</v>
      </c>
      <c r="M94" t="str">
        <f t="shared" si="9"/>
        <v/>
      </c>
      <c r="T94">
        <v>5</v>
      </c>
      <c r="U94">
        <v>2</v>
      </c>
      <c r="V94" t="s">
        <v>33</v>
      </c>
    </row>
    <row r="95" spans="1:22" x14ac:dyDescent="0.35">
      <c r="A95" s="3">
        <v>44852.354166666664</v>
      </c>
      <c r="E95" s="5">
        <v>38.5</v>
      </c>
      <c r="G95">
        <f t="shared" si="10"/>
        <v>11.5</v>
      </c>
      <c r="I95">
        <f t="shared" si="8"/>
        <v>24.325372240000004</v>
      </c>
      <c r="K95" s="5">
        <v>269</v>
      </c>
      <c r="L95" s="18">
        <f>1.1257*A95-50384</f>
        <v>106.29508541666291</v>
      </c>
      <c r="M95">
        <f t="shared" si="9"/>
        <v>24325.372240000004</v>
      </c>
      <c r="T95">
        <v>5</v>
      </c>
      <c r="U95">
        <v>2</v>
      </c>
      <c r="V95" t="s">
        <v>34</v>
      </c>
    </row>
    <row r="96" spans="1:22" x14ac:dyDescent="0.35">
      <c r="A96" s="4">
        <v>44855.5</v>
      </c>
      <c r="E96" s="5"/>
      <c r="G96" t="str">
        <f t="shared" si="10"/>
        <v/>
      </c>
      <c r="I96" t="str">
        <f t="shared" si="8"/>
        <v/>
      </c>
      <c r="K96" s="7">
        <v>269</v>
      </c>
      <c r="L96" s="18">
        <f>1.1257*A96-50384</f>
        <v>109.83634999999776</v>
      </c>
      <c r="M96" t="str">
        <f t="shared" si="9"/>
        <v/>
      </c>
      <c r="Q96">
        <v>2.88</v>
      </c>
      <c r="T96">
        <v>5</v>
      </c>
      <c r="U96">
        <v>2</v>
      </c>
      <c r="V96" t="s">
        <v>35</v>
      </c>
    </row>
    <row r="97" spans="1:22" x14ac:dyDescent="0.35">
      <c r="A97" s="3">
        <v>44859.423611111109</v>
      </c>
      <c r="E97" s="5"/>
      <c r="K97" s="7">
        <v>269</v>
      </c>
      <c r="L97" s="18"/>
      <c r="T97">
        <v>5</v>
      </c>
      <c r="U97">
        <v>2</v>
      </c>
      <c r="V97" t="s">
        <v>144</v>
      </c>
    </row>
    <row r="98" spans="1:22" x14ac:dyDescent="0.35">
      <c r="A98" s="3">
        <v>44859.506944444445</v>
      </c>
      <c r="E98" s="5">
        <v>33</v>
      </c>
      <c r="F98" s="9">
        <f>+(E95-E98)/(A98-A95)</f>
        <v>0.76893203883460381</v>
      </c>
      <c r="G98">
        <f t="shared" si="10"/>
        <v>17</v>
      </c>
      <c r="I98">
        <f t="shared" si="8"/>
        <v>35.959245920000001</v>
      </c>
      <c r="K98" s="5">
        <v>185</v>
      </c>
      <c r="L98" s="1">
        <v>115</v>
      </c>
      <c r="M98">
        <f t="shared" si="9"/>
        <v>35959.245920000001</v>
      </c>
      <c r="Q98">
        <v>2.83</v>
      </c>
      <c r="T98">
        <v>5</v>
      </c>
      <c r="U98">
        <v>2</v>
      </c>
      <c r="V98" t="s">
        <v>145</v>
      </c>
    </row>
    <row r="99" spans="1:22" x14ac:dyDescent="0.35">
      <c r="A99" s="4">
        <v>44865.416666666664</v>
      </c>
      <c r="E99" s="5"/>
      <c r="F99" s="15"/>
      <c r="K99" s="5">
        <v>185</v>
      </c>
      <c r="L99" s="1"/>
      <c r="T99">
        <v>5</v>
      </c>
      <c r="U99">
        <v>2</v>
      </c>
      <c r="V99" t="s">
        <v>144</v>
      </c>
    </row>
    <row r="100" spans="1:22" x14ac:dyDescent="0.35">
      <c r="A100" s="4">
        <v>44865.5</v>
      </c>
      <c r="B100" s="5"/>
      <c r="G100" t="str">
        <f t="shared" si="10"/>
        <v/>
      </c>
      <c r="I100" t="str">
        <f t="shared" si="8"/>
        <v/>
      </c>
      <c r="K100" s="7">
        <v>72</v>
      </c>
      <c r="L100" s="18">
        <v>115</v>
      </c>
      <c r="M100" t="str">
        <f t="shared" si="9"/>
        <v/>
      </c>
      <c r="Q100">
        <v>2.83</v>
      </c>
      <c r="T100">
        <v>5</v>
      </c>
      <c r="U100">
        <v>2</v>
      </c>
      <c r="V100" t="s">
        <v>36</v>
      </c>
    </row>
    <row r="101" spans="1:22" x14ac:dyDescent="0.35">
      <c r="A101" s="4">
        <v>44876.416666666664</v>
      </c>
      <c r="B101" s="5"/>
      <c r="K101" s="7">
        <v>72</v>
      </c>
      <c r="L101" s="18"/>
      <c r="T101">
        <v>5</v>
      </c>
      <c r="U101">
        <v>2</v>
      </c>
      <c r="V101" t="s">
        <v>144</v>
      </c>
    </row>
    <row r="102" spans="1:22" x14ac:dyDescent="0.35">
      <c r="A102" s="4">
        <v>44876.5</v>
      </c>
      <c r="B102" s="5"/>
      <c r="E102">
        <f>+E98-(F102*(A102-A98))</f>
        <v>27.914657570194091</v>
      </c>
      <c r="F102">
        <f>+F98*K101/K99</f>
        <v>0.29926003673562956</v>
      </c>
      <c r="G102">
        <f t="shared" si="10"/>
        <v>22.085342429805909</v>
      </c>
      <c r="I102">
        <f t="shared" si="8"/>
        <v>46.716015274164768</v>
      </c>
      <c r="K102" s="7">
        <v>12</v>
      </c>
      <c r="L102" s="18">
        <v>115</v>
      </c>
      <c r="M102">
        <f t="shared" si="9"/>
        <v>46716.015274164769</v>
      </c>
      <c r="Q102">
        <v>2.83</v>
      </c>
      <c r="T102">
        <v>5</v>
      </c>
      <c r="U102">
        <v>2</v>
      </c>
      <c r="V102" t="s">
        <v>155</v>
      </c>
    </row>
    <row r="103" spans="1:22" x14ac:dyDescent="0.35">
      <c r="A103" s="4">
        <v>44879.493055555555</v>
      </c>
      <c r="B103" s="5"/>
      <c r="K103" s="7">
        <v>12</v>
      </c>
      <c r="L103" s="18"/>
      <c r="T103">
        <v>5</v>
      </c>
      <c r="U103">
        <v>2</v>
      </c>
      <c r="V103" t="s">
        <v>83</v>
      </c>
    </row>
    <row r="104" spans="1:22" x14ac:dyDescent="0.35">
      <c r="A104" s="4">
        <v>44879.5</v>
      </c>
      <c r="B104" s="5"/>
      <c r="G104" t="str">
        <f t="shared" si="10"/>
        <v/>
      </c>
      <c r="I104" t="str">
        <f t="shared" si="8"/>
        <v/>
      </c>
      <c r="K104" s="7">
        <v>11</v>
      </c>
      <c r="L104">
        <v>115</v>
      </c>
      <c r="M104" t="str">
        <f t="shared" si="9"/>
        <v/>
      </c>
      <c r="Q104">
        <v>2.83</v>
      </c>
      <c r="T104">
        <v>5</v>
      </c>
      <c r="U104">
        <v>2</v>
      </c>
      <c r="V104" t="s">
        <v>64</v>
      </c>
    </row>
    <row r="105" spans="1:22" x14ac:dyDescent="0.35">
      <c r="A105" s="6">
        <v>44881.180555555555</v>
      </c>
      <c r="B105" s="5"/>
      <c r="K105" s="7">
        <v>11</v>
      </c>
      <c r="L105" s="18">
        <v>115</v>
      </c>
      <c r="Q105">
        <v>2.83</v>
      </c>
      <c r="T105">
        <v>5</v>
      </c>
      <c r="U105">
        <v>2</v>
      </c>
      <c r="V105" t="s">
        <v>146</v>
      </c>
    </row>
    <row r="106" spans="1:22" x14ac:dyDescent="0.35">
      <c r="A106" s="6">
        <v>44881.1875</v>
      </c>
      <c r="B106" s="5"/>
      <c r="E106">
        <f>+E102-(F106*(A106-A102))</f>
        <v>27.700343741802691</v>
      </c>
      <c r="F106">
        <f>+F102*K105/K101</f>
        <v>4.5720283390165622E-2</v>
      </c>
      <c r="G106">
        <f t="shared" si="10"/>
        <v>22.299656258197309</v>
      </c>
      <c r="I106">
        <f t="shared" si="8"/>
        <v>47.169342548234361</v>
      </c>
      <c r="K106" s="7">
        <v>0</v>
      </c>
      <c r="M106">
        <f t="shared" si="9"/>
        <v>47169.342548234359</v>
      </c>
      <c r="T106">
        <v>5</v>
      </c>
      <c r="U106">
        <v>2</v>
      </c>
      <c r="V106" t="s">
        <v>156</v>
      </c>
    </row>
    <row r="107" spans="1:22" x14ac:dyDescent="0.35">
      <c r="A107" s="20"/>
      <c r="B107" s="5"/>
      <c r="C107" s="7"/>
      <c r="G107" t="str">
        <f t="shared" si="10"/>
        <v/>
      </c>
      <c r="R107">
        <v>201520</v>
      </c>
    </row>
    <row r="108" spans="1:22" x14ac:dyDescent="0.35">
      <c r="A108" s="4">
        <v>44886.4375</v>
      </c>
      <c r="E108" s="7">
        <v>27.700343741802691</v>
      </c>
      <c r="G108">
        <f t="shared" si="10"/>
        <v>22.299656258197309</v>
      </c>
      <c r="I108">
        <f t="shared" si="8"/>
        <v>47.169342548234361</v>
      </c>
      <c r="K108" s="7">
        <v>0</v>
      </c>
      <c r="M108">
        <f t="shared" si="9"/>
        <v>47169.342548234359</v>
      </c>
      <c r="T108">
        <v>5</v>
      </c>
      <c r="U108">
        <v>3</v>
      </c>
      <c r="V108" t="s">
        <v>149</v>
      </c>
    </row>
    <row r="109" spans="1:22" x14ac:dyDescent="0.35">
      <c r="A109" s="4">
        <v>44886.520833333336</v>
      </c>
      <c r="E109">
        <v>34</v>
      </c>
      <c r="G109">
        <f t="shared" si="10"/>
        <v>16</v>
      </c>
      <c r="I109">
        <f t="shared" si="8"/>
        <v>33.843996160000003</v>
      </c>
      <c r="K109" s="7">
        <v>304</v>
      </c>
      <c r="L109" s="1">
        <v>30</v>
      </c>
      <c r="M109">
        <f t="shared" si="9"/>
        <v>33843.996160000002</v>
      </c>
      <c r="Q109">
        <v>1.23</v>
      </c>
      <c r="T109">
        <v>5</v>
      </c>
      <c r="U109">
        <v>3</v>
      </c>
      <c r="V109" t="s">
        <v>66</v>
      </c>
    </row>
    <row r="110" spans="1:22" x14ac:dyDescent="0.35">
      <c r="A110" s="27">
        <v>44888.493055555555</v>
      </c>
      <c r="K110" s="25">
        <v>304</v>
      </c>
      <c r="T110">
        <v>5</v>
      </c>
      <c r="U110">
        <v>3</v>
      </c>
      <c r="V110" t="s">
        <v>83</v>
      </c>
    </row>
    <row r="111" spans="1:22" x14ac:dyDescent="0.35">
      <c r="A111" s="27">
        <v>44888.5</v>
      </c>
      <c r="B111" s="25"/>
      <c r="G111" t="str">
        <f t="shared" ref="G111:G114" si="11">IF(ISBLANK(E111),"",+$B$2-E111)</f>
        <v/>
      </c>
      <c r="I111" t="str">
        <f t="shared" ref="I111:I114" si="12">+IF(ISBLANK(E111),"",(G111/100)*$C$2)</f>
        <v/>
      </c>
      <c r="K111" s="25">
        <v>303</v>
      </c>
      <c r="L111" s="11">
        <f>1.0513*A111-47158</f>
        <v>33.280049999993935</v>
      </c>
      <c r="M111" t="str">
        <f t="shared" ref="M111:M114" si="13">IF(ISBLANK(E111),"",+I111*$H$2)</f>
        <v/>
      </c>
      <c r="T111">
        <v>5</v>
      </c>
      <c r="U111">
        <v>3</v>
      </c>
      <c r="V111" t="s">
        <v>37</v>
      </c>
    </row>
    <row r="112" spans="1:22" x14ac:dyDescent="0.35">
      <c r="A112" s="10">
        <v>44894.40625</v>
      </c>
      <c r="E112" s="29">
        <v>34</v>
      </c>
      <c r="G112">
        <f t="shared" si="11"/>
        <v>16</v>
      </c>
      <c r="I112">
        <f t="shared" si="12"/>
        <v>33.843996160000003</v>
      </c>
      <c r="K112" s="29">
        <v>303</v>
      </c>
      <c r="L112" s="11">
        <f>1.0513*A112-47158</f>
        <v>39.489290624995192</v>
      </c>
      <c r="M112">
        <f t="shared" si="13"/>
        <v>33843.996160000002</v>
      </c>
      <c r="Q112">
        <v>1.64</v>
      </c>
      <c r="T112">
        <v>5</v>
      </c>
      <c r="U112">
        <v>3</v>
      </c>
    </row>
    <row r="113" spans="1:22" x14ac:dyDescent="0.35">
      <c r="A113" s="10">
        <v>44901.493055555555</v>
      </c>
      <c r="E113" s="29">
        <v>27</v>
      </c>
      <c r="G113">
        <f t="shared" si="11"/>
        <v>23</v>
      </c>
      <c r="I113">
        <f t="shared" si="12"/>
        <v>48.650744480000007</v>
      </c>
      <c r="K113" s="29">
        <v>303</v>
      </c>
      <c r="L113" s="11">
        <f>1.0513*A113-47158</f>
        <v>46.939649305553758</v>
      </c>
      <c r="M113">
        <f t="shared" si="13"/>
        <v>48650.744480000008</v>
      </c>
      <c r="T113">
        <v>5</v>
      </c>
      <c r="U113">
        <v>3</v>
      </c>
    </row>
    <row r="114" spans="1:22" x14ac:dyDescent="0.35">
      <c r="A114" s="10">
        <v>44908.5</v>
      </c>
      <c r="E114" s="29">
        <v>23</v>
      </c>
      <c r="G114">
        <f t="shared" si="11"/>
        <v>27</v>
      </c>
      <c r="I114">
        <f t="shared" si="12"/>
        <v>57.111743520000005</v>
      </c>
      <c r="K114" s="29">
        <v>303</v>
      </c>
      <c r="L114" s="11">
        <f>1.0513*A114-47158</f>
        <v>54.306049999991956</v>
      </c>
      <c r="M114">
        <f t="shared" si="13"/>
        <v>57111.743520000004</v>
      </c>
      <c r="Q114">
        <v>2.14</v>
      </c>
      <c r="T114">
        <v>5</v>
      </c>
      <c r="U114">
        <v>3</v>
      </c>
    </row>
    <row r="115" spans="1:22" x14ac:dyDescent="0.35">
      <c r="A115" s="27">
        <v>44912.479166666664</v>
      </c>
      <c r="E115" s="29"/>
      <c r="K115" s="29">
        <v>303</v>
      </c>
      <c r="L115" s="11"/>
      <c r="T115">
        <v>5</v>
      </c>
      <c r="U115">
        <v>3</v>
      </c>
      <c r="V115" t="s">
        <v>92</v>
      </c>
    </row>
    <row r="116" spans="1:22" x14ac:dyDescent="0.35">
      <c r="A116" s="27">
        <v>44912.5</v>
      </c>
      <c r="B116" s="25"/>
      <c r="G116" t="str">
        <f t="shared" ref="G116:G119" si="14">IF(ISBLANK(E116),"",+$B$2-E116)</f>
        <v/>
      </c>
      <c r="I116" t="str">
        <f t="shared" ref="I116:I119" si="15">+IF(ISBLANK(E116),"",(G116/100)*$C$2)</f>
        <v/>
      </c>
      <c r="K116" s="24">
        <v>279</v>
      </c>
      <c r="L116" s="11">
        <f>1.0513*A116-47158</f>
        <v>58.511249999995925</v>
      </c>
      <c r="M116" t="str">
        <f t="shared" ref="M116:M119" si="16">IF(ISBLANK(E116),"",+I116*$H$2)</f>
        <v/>
      </c>
      <c r="Q116">
        <v>2.2999999999999998</v>
      </c>
      <c r="T116">
        <v>5</v>
      </c>
      <c r="U116">
        <v>3</v>
      </c>
      <c r="V116" t="s">
        <v>38</v>
      </c>
    </row>
    <row r="117" spans="1:22" x14ac:dyDescent="0.35">
      <c r="A117" s="10">
        <v>44915.375</v>
      </c>
      <c r="B117" s="25"/>
      <c r="C117" s="24"/>
      <c r="E117" s="29">
        <v>18</v>
      </c>
      <c r="F117" s="9">
        <f>+(E117-E114)/(A117-A114)</f>
        <v>-0.72727272727272729</v>
      </c>
      <c r="G117">
        <f t="shared" si="14"/>
        <v>32</v>
      </c>
      <c r="I117">
        <f t="shared" si="15"/>
        <v>67.687992320000006</v>
      </c>
      <c r="L117" s="11">
        <f>1.0513*A117-47158</f>
        <v>61.533737499994459</v>
      </c>
      <c r="M117">
        <f t="shared" si="16"/>
        <v>67687.992320000005</v>
      </c>
      <c r="T117">
        <v>5</v>
      </c>
      <c r="U117">
        <v>3</v>
      </c>
    </row>
    <row r="118" spans="1:22" x14ac:dyDescent="0.35">
      <c r="A118" s="10">
        <v>44915.430555555555</v>
      </c>
      <c r="E118">
        <f>+F117*A118+F118</f>
        <v>17.959595959593571</v>
      </c>
      <c r="F118" s="15">
        <f>+E114-F117*A114</f>
        <v>32683.727272727272</v>
      </c>
      <c r="G118">
        <f t="shared" si="14"/>
        <v>32.040404040406429</v>
      </c>
      <c r="I118">
        <f t="shared" si="15"/>
        <v>67.773456956772733</v>
      </c>
      <c r="L118" s="11">
        <f>1.0513*A118-47158</f>
        <v>61.592143055553606</v>
      </c>
      <c r="M118">
        <f t="shared" si="16"/>
        <v>67773.45695677273</v>
      </c>
      <c r="T118">
        <v>5</v>
      </c>
      <c r="U118">
        <v>3</v>
      </c>
      <c r="V118" t="s">
        <v>29</v>
      </c>
    </row>
    <row r="119" spans="1:22" x14ac:dyDescent="0.35">
      <c r="A119" s="10">
        <v>44915.451388888891</v>
      </c>
      <c r="E119" s="29">
        <v>44</v>
      </c>
      <c r="G119">
        <f t="shared" si="14"/>
        <v>6</v>
      </c>
      <c r="I119">
        <f t="shared" si="15"/>
        <v>12.691498559999999</v>
      </c>
      <c r="L119" s="11">
        <f>1.0513*A119-47158</f>
        <v>61.614045138885558</v>
      </c>
      <c r="M119">
        <f t="shared" si="16"/>
        <v>12691.49856</v>
      </c>
      <c r="T119">
        <v>5</v>
      </c>
      <c r="U119">
        <v>3</v>
      </c>
    </row>
    <row r="120" spans="1:22" x14ac:dyDescent="0.35">
      <c r="A120" s="27">
        <v>44917.486111111109</v>
      </c>
      <c r="E120" s="29"/>
      <c r="K120">
        <v>279</v>
      </c>
      <c r="L120" s="11"/>
      <c r="T120">
        <v>5</v>
      </c>
      <c r="U120">
        <v>3</v>
      </c>
      <c r="V120" t="s">
        <v>93</v>
      </c>
    </row>
    <row r="121" spans="1:22" x14ac:dyDescent="0.35">
      <c r="A121" s="27">
        <v>44917.5</v>
      </c>
      <c r="B121" s="25"/>
      <c r="G121" t="str">
        <f t="shared" ref="G121" si="17">IF(ISBLANK(E121),"",+$B$2-E121)</f>
        <v/>
      </c>
      <c r="I121" t="str">
        <f t="shared" ref="I121" si="18">+IF(ISBLANK(E121),"",(G121/100)*$C$2)</f>
        <v/>
      </c>
      <c r="K121" s="25">
        <v>273</v>
      </c>
      <c r="L121" s="11">
        <f>1.0513*A121-47158</f>
        <v>63.767749999999069</v>
      </c>
      <c r="M121" t="str">
        <f t="shared" ref="M121" si="19">IF(ISBLANK(E121),"",+I121*$H$2)</f>
        <v/>
      </c>
      <c r="T121">
        <v>5</v>
      </c>
      <c r="U121">
        <v>3</v>
      </c>
      <c r="V121" t="s">
        <v>60</v>
      </c>
    </row>
    <row r="122" spans="1:22" x14ac:dyDescent="0.35">
      <c r="A122" s="27">
        <v>44920.493055555555</v>
      </c>
      <c r="B122" s="25"/>
      <c r="K122" s="25">
        <v>273</v>
      </c>
      <c r="L122" s="11"/>
      <c r="T122">
        <v>5</v>
      </c>
      <c r="U122">
        <v>3</v>
      </c>
      <c r="V122" t="s">
        <v>83</v>
      </c>
    </row>
    <row r="123" spans="1:22" x14ac:dyDescent="0.35">
      <c r="A123" s="27">
        <v>44920.5</v>
      </c>
      <c r="B123" s="25"/>
      <c r="E123" s="29"/>
      <c r="G123" t="str">
        <f t="shared" ref="G123:G126" si="20">IF(ISBLANK(E123),"",+$B$2-E123)</f>
        <v/>
      </c>
      <c r="I123" t="str">
        <f t="shared" ref="I123:I126" si="21">+IF(ISBLANK(E123),"",(G123/100)*$C$2)</f>
        <v/>
      </c>
      <c r="K123" s="30">
        <v>272</v>
      </c>
      <c r="L123" s="11">
        <f>1.0513*A123-47158</f>
        <v>66.921649999996589</v>
      </c>
      <c r="M123" t="str">
        <f t="shared" ref="M123:M126" si="22">IF(ISBLANK(E123),"",+I123*$H$2)</f>
        <v/>
      </c>
      <c r="T123">
        <v>5</v>
      </c>
      <c r="U123">
        <v>3</v>
      </c>
      <c r="V123" t="s">
        <v>94</v>
      </c>
    </row>
    <row r="124" spans="1:22" x14ac:dyDescent="0.35">
      <c r="A124" s="10">
        <v>44922.427083333336</v>
      </c>
      <c r="E124" s="29">
        <v>38</v>
      </c>
      <c r="G124">
        <f t="shared" si="20"/>
        <v>12</v>
      </c>
      <c r="I124">
        <f t="shared" si="21"/>
        <v>25.382997119999999</v>
      </c>
      <c r="K124" s="29">
        <v>272</v>
      </c>
      <c r="L124" s="11">
        <f>1.0513*A124-47158</f>
        <v>68.947592708333104</v>
      </c>
      <c r="M124">
        <f t="shared" si="22"/>
        <v>25382.99712</v>
      </c>
      <c r="Q124">
        <v>2.5499999999999998</v>
      </c>
      <c r="T124">
        <v>5</v>
      </c>
      <c r="U124">
        <v>3</v>
      </c>
      <c r="V124" t="s">
        <v>39</v>
      </c>
    </row>
    <row r="125" spans="1:22" x14ac:dyDescent="0.35">
      <c r="A125" s="10">
        <v>44929.354166666664</v>
      </c>
      <c r="E125" s="29">
        <v>31</v>
      </c>
      <c r="G125">
        <f t="shared" si="20"/>
        <v>19</v>
      </c>
      <c r="I125">
        <f t="shared" si="21"/>
        <v>40.189745440000003</v>
      </c>
      <c r="K125" s="29">
        <v>272</v>
      </c>
      <c r="L125" s="11">
        <f>1.0513*A125-47158</f>
        <v>76.230035416658211</v>
      </c>
      <c r="M125">
        <f t="shared" si="22"/>
        <v>40189.745440000006</v>
      </c>
      <c r="T125">
        <v>5</v>
      </c>
      <c r="U125">
        <v>3</v>
      </c>
    </row>
    <row r="126" spans="1:22" x14ac:dyDescent="0.35">
      <c r="A126" s="10">
        <v>44935.6875</v>
      </c>
      <c r="D126" s="2"/>
      <c r="E126" s="29">
        <v>29</v>
      </c>
      <c r="G126">
        <f t="shared" si="20"/>
        <v>21</v>
      </c>
      <c r="I126">
        <f t="shared" si="21"/>
        <v>44.420244959999998</v>
      </c>
      <c r="K126" s="29">
        <v>272</v>
      </c>
      <c r="L126" s="11">
        <f>1.0513*A126-47158</f>
        <v>82.888268749993586</v>
      </c>
      <c r="M126">
        <f t="shared" si="22"/>
        <v>44420.244959999996</v>
      </c>
      <c r="Q126">
        <v>2.74</v>
      </c>
      <c r="T126">
        <v>5</v>
      </c>
      <c r="U126">
        <v>3</v>
      </c>
    </row>
    <row r="127" spans="1:22" x14ac:dyDescent="0.35">
      <c r="A127" s="27">
        <v>44938.493055555555</v>
      </c>
      <c r="D127" s="2"/>
      <c r="E127" s="29"/>
      <c r="K127" s="29">
        <v>272</v>
      </c>
      <c r="L127" s="11"/>
      <c r="T127">
        <v>5</v>
      </c>
      <c r="U127">
        <v>3</v>
      </c>
      <c r="V127" t="s">
        <v>79</v>
      </c>
    </row>
    <row r="128" spans="1:22" x14ac:dyDescent="0.35">
      <c r="A128" s="27">
        <v>44938.5</v>
      </c>
      <c r="E128" s="25"/>
      <c r="G128" t="str">
        <f t="shared" ref="G128:G132" si="23">IF(ISBLANK(E128),"",+$B$2-E128)</f>
        <v/>
      </c>
      <c r="I128" t="str">
        <f t="shared" ref="I128:I132" si="24">+IF(ISBLANK(E128),"",(G128/100)*$C$2)</f>
        <v/>
      </c>
      <c r="K128" s="30">
        <v>271</v>
      </c>
      <c r="L128" s="11">
        <f>1.0513*A128-47158</f>
        <v>85.845049999996263</v>
      </c>
      <c r="M128" t="str">
        <f t="shared" ref="M128:M132" si="25">IF(ISBLANK(E128),"",+I128*$H$2)</f>
        <v/>
      </c>
      <c r="T128">
        <v>5</v>
      </c>
      <c r="U128">
        <v>3</v>
      </c>
      <c r="V128" t="s">
        <v>94</v>
      </c>
    </row>
    <row r="129" spans="1:22" x14ac:dyDescent="0.35">
      <c r="A129" s="10">
        <v>44943.416666666664</v>
      </c>
      <c r="E129" s="29">
        <v>30</v>
      </c>
      <c r="F129" s="9">
        <f>+(E129-E125)/(A129-A125)</f>
        <v>-7.1111111111111111E-2</v>
      </c>
      <c r="G129">
        <f t="shared" si="23"/>
        <v>20</v>
      </c>
      <c r="I129">
        <f t="shared" si="24"/>
        <v>42.304995200000008</v>
      </c>
      <c r="K129" s="29">
        <v>271</v>
      </c>
      <c r="L129" s="11">
        <f>1.0513*A129-47158</f>
        <v>91.013941666657047</v>
      </c>
      <c r="M129">
        <f t="shared" si="25"/>
        <v>42304.995200000005</v>
      </c>
      <c r="Q129">
        <v>2.86</v>
      </c>
      <c r="T129">
        <v>5</v>
      </c>
      <c r="U129">
        <v>3</v>
      </c>
      <c r="V129" t="s">
        <v>39</v>
      </c>
    </row>
    <row r="130" spans="1:22" x14ac:dyDescent="0.35">
      <c r="A130" s="10">
        <v>44943.416666666664</v>
      </c>
      <c r="E130" s="29">
        <v>30</v>
      </c>
      <c r="F130" s="15">
        <f>+E125-F129*A125</f>
        <v>3225.9762962962959</v>
      </c>
      <c r="G130">
        <f t="shared" si="23"/>
        <v>20</v>
      </c>
      <c r="I130">
        <f t="shared" si="24"/>
        <v>42.304995200000008</v>
      </c>
      <c r="L130" s="11">
        <f>1.0513*A130-47158</f>
        <v>91.013941666657047</v>
      </c>
      <c r="M130">
        <f t="shared" si="25"/>
        <v>42304.995200000005</v>
      </c>
      <c r="T130">
        <v>5</v>
      </c>
      <c r="U130">
        <v>3</v>
      </c>
    </row>
    <row r="131" spans="1:22" x14ac:dyDescent="0.35">
      <c r="A131" s="10">
        <v>44943.475694444445</v>
      </c>
      <c r="E131" s="11">
        <v>30</v>
      </c>
      <c r="F131" s="15"/>
      <c r="G131">
        <f t="shared" si="23"/>
        <v>20</v>
      </c>
      <c r="I131">
        <f t="shared" si="24"/>
        <v>42.304995200000008</v>
      </c>
      <c r="L131" s="11">
        <f>1.0513*A131-47158</f>
        <v>91.075997569438186</v>
      </c>
      <c r="M131">
        <f t="shared" si="25"/>
        <v>42304.995200000005</v>
      </c>
      <c r="T131">
        <v>5</v>
      </c>
      <c r="U131">
        <v>3</v>
      </c>
    </row>
    <row r="132" spans="1:22" x14ac:dyDescent="0.35">
      <c r="A132" s="10">
        <v>44943.479166666664</v>
      </c>
      <c r="E132" s="29">
        <v>43</v>
      </c>
      <c r="G132">
        <f t="shared" si="23"/>
        <v>7</v>
      </c>
      <c r="I132">
        <f t="shared" si="24"/>
        <v>14.806748320000002</v>
      </c>
      <c r="L132" s="11">
        <f>1.0513*A132-47158</f>
        <v>91.079647916660178</v>
      </c>
      <c r="M132">
        <f t="shared" si="25"/>
        <v>14806.748320000002</v>
      </c>
      <c r="T132">
        <v>5</v>
      </c>
      <c r="U132">
        <v>3</v>
      </c>
    </row>
    <row r="133" spans="1:22" x14ac:dyDescent="0.35">
      <c r="A133" s="27">
        <v>44952.493055555555</v>
      </c>
      <c r="E133" s="29"/>
      <c r="K133">
        <v>271</v>
      </c>
      <c r="L133" s="11"/>
      <c r="T133">
        <v>5</v>
      </c>
      <c r="U133">
        <v>3</v>
      </c>
      <c r="V133" t="s">
        <v>83</v>
      </c>
    </row>
    <row r="134" spans="1:22" x14ac:dyDescent="0.35">
      <c r="A134" s="27">
        <v>44952.5</v>
      </c>
      <c r="B134" s="25"/>
      <c r="F134" s="9"/>
      <c r="G134" t="str">
        <f t="shared" ref="G134:G137" si="26">IF(ISBLANK(E134),"",+$B$2-E134)</f>
        <v/>
      </c>
      <c r="I134" t="str">
        <f t="shared" ref="I134:I137" si="27">+IF(ISBLANK(E134),"",(G134/100)*$C$2)</f>
        <v/>
      </c>
      <c r="K134" s="25">
        <v>270</v>
      </c>
      <c r="L134" s="11">
        <f>1.0513*A134-47158</f>
        <v>100.56324999999197</v>
      </c>
      <c r="M134" t="str">
        <f t="shared" ref="M134:M137" si="28">IF(ISBLANK(E134),"",+I134*$H$2)</f>
        <v/>
      </c>
      <c r="Q134">
        <v>2.91</v>
      </c>
      <c r="T134">
        <v>5</v>
      </c>
      <c r="U134">
        <v>3</v>
      </c>
      <c r="V134" t="s">
        <v>94</v>
      </c>
    </row>
    <row r="135" spans="1:22" x14ac:dyDescent="0.35">
      <c r="A135" s="10">
        <v>44957.409722222219</v>
      </c>
      <c r="D135" s="29"/>
      <c r="E135" s="29">
        <v>29</v>
      </c>
      <c r="F135" s="15"/>
      <c r="G135">
        <f t="shared" si="26"/>
        <v>21</v>
      </c>
      <c r="I135">
        <f t="shared" si="27"/>
        <v>44.420244959999998</v>
      </c>
      <c r="K135" s="29">
        <v>270</v>
      </c>
      <c r="L135" s="11">
        <f>1.0513*A135-47158</f>
        <v>105.72484097221604</v>
      </c>
      <c r="M135">
        <f t="shared" si="28"/>
        <v>44420.244959999996</v>
      </c>
      <c r="T135">
        <v>5</v>
      </c>
      <c r="U135">
        <v>3</v>
      </c>
    </row>
    <row r="136" spans="1:22" x14ac:dyDescent="0.35">
      <c r="A136" s="10">
        <v>44957.520833333336</v>
      </c>
      <c r="D136" s="29"/>
      <c r="E136" s="29">
        <v>42</v>
      </c>
      <c r="G136">
        <f t="shared" si="26"/>
        <v>8</v>
      </c>
      <c r="I136">
        <f t="shared" si="27"/>
        <v>16.921998080000002</v>
      </c>
      <c r="K136" s="29">
        <v>270</v>
      </c>
      <c r="L136" s="11"/>
      <c r="M136">
        <f t="shared" si="28"/>
        <v>16921.998080000001</v>
      </c>
      <c r="T136">
        <v>5</v>
      </c>
      <c r="U136">
        <v>3</v>
      </c>
    </row>
    <row r="137" spans="1:22" x14ac:dyDescent="0.35">
      <c r="A137" s="10">
        <v>44963.604166666664</v>
      </c>
      <c r="E137" s="29">
        <v>38</v>
      </c>
      <c r="G137">
        <f t="shared" si="26"/>
        <v>12</v>
      </c>
      <c r="I137">
        <f t="shared" si="27"/>
        <v>25.382997119999999</v>
      </c>
      <c r="K137" s="29">
        <v>270</v>
      </c>
      <c r="L137" s="11">
        <f>1.0513*A137-47158</f>
        <v>112.23706041665719</v>
      </c>
      <c r="M137">
        <f t="shared" si="28"/>
        <v>25382.99712</v>
      </c>
      <c r="Q137">
        <v>2.88</v>
      </c>
      <c r="T137">
        <v>5</v>
      </c>
      <c r="U137">
        <v>3</v>
      </c>
      <c r="V137" t="s">
        <v>61</v>
      </c>
    </row>
    <row r="138" spans="1:22" x14ac:dyDescent="0.35">
      <c r="A138" s="27">
        <v>44967.3125</v>
      </c>
      <c r="E138" s="29"/>
      <c r="K138" s="29">
        <v>270</v>
      </c>
      <c r="L138" s="11"/>
      <c r="T138">
        <v>5</v>
      </c>
      <c r="U138">
        <v>3</v>
      </c>
    </row>
    <row r="139" spans="1:22" x14ac:dyDescent="0.35">
      <c r="A139" s="27">
        <v>44967.395833333336</v>
      </c>
      <c r="B139" s="25"/>
      <c r="E139" s="25">
        <v>37</v>
      </c>
      <c r="G139">
        <f t="shared" ref="G139:G140" si="29">IF(ISBLANK(E139),"",+$B$2-E139)</f>
        <v>13</v>
      </c>
      <c r="I139">
        <f t="shared" ref="I139:I140" si="30">+IF(ISBLANK(E139),"",(G139/100)*$C$2)</f>
        <v>27.498246880000004</v>
      </c>
      <c r="K139" s="25">
        <v>0</v>
      </c>
      <c r="L139">
        <v>115</v>
      </c>
      <c r="M139">
        <f t="shared" ref="M139:M140" si="31">IF(ISBLANK(E139),"",+I139*$H$2)</f>
        <v>27498.246880000002</v>
      </c>
      <c r="Q139">
        <v>2.83</v>
      </c>
      <c r="T139">
        <v>5</v>
      </c>
      <c r="U139">
        <v>3</v>
      </c>
      <c r="V139" t="s">
        <v>62</v>
      </c>
    </row>
    <row r="140" spans="1:22" x14ac:dyDescent="0.35">
      <c r="A140" s="23">
        <v>44971.458333333336</v>
      </c>
      <c r="E140" s="25">
        <v>37</v>
      </c>
      <c r="G140">
        <f t="shared" si="29"/>
        <v>13</v>
      </c>
      <c r="I140">
        <f t="shared" si="30"/>
        <v>27.498246880000004</v>
      </c>
      <c r="K140">
        <v>0</v>
      </c>
      <c r="M140">
        <f t="shared" si="31"/>
        <v>27498.246880000002</v>
      </c>
      <c r="T140">
        <v>5</v>
      </c>
      <c r="U140">
        <v>3</v>
      </c>
    </row>
    <row r="141" spans="1:22" x14ac:dyDescent="0.35">
      <c r="A141" s="20"/>
      <c r="G141" t="str">
        <f t="shared" si="10"/>
        <v/>
      </c>
      <c r="I141" t="str">
        <f t="shared" si="8"/>
        <v/>
      </c>
      <c r="L141" s="18"/>
      <c r="M141" t="str">
        <f t="shared" si="9"/>
        <v/>
      </c>
      <c r="R141">
        <v>187932</v>
      </c>
    </row>
    <row r="142" spans="1:22" x14ac:dyDescent="0.35">
      <c r="A142" s="23">
        <v>44686.270833333336</v>
      </c>
      <c r="E142" s="24">
        <v>44.5</v>
      </c>
      <c r="G142">
        <f t="shared" si="10"/>
        <v>5.5</v>
      </c>
      <c r="I142">
        <f t="shared" si="8"/>
        <v>11.633873680000001</v>
      </c>
      <c r="K142">
        <v>0</v>
      </c>
      <c r="L142" s="18">
        <v>0</v>
      </c>
      <c r="M142">
        <f t="shared" si="9"/>
        <v>11633.873680000001</v>
      </c>
      <c r="T142">
        <v>6</v>
      </c>
      <c r="U142">
        <v>1</v>
      </c>
      <c r="V142" t="s">
        <v>40</v>
      </c>
    </row>
    <row r="143" spans="1:22" x14ac:dyDescent="0.35">
      <c r="A143" s="26">
        <v>44686.541666666664</v>
      </c>
      <c r="G143" t="str">
        <f t="shared" si="10"/>
        <v/>
      </c>
      <c r="I143" t="str">
        <f t="shared" si="8"/>
        <v/>
      </c>
      <c r="K143" s="25">
        <v>0</v>
      </c>
      <c r="L143" s="22">
        <v>0</v>
      </c>
      <c r="M143" t="str">
        <f t="shared" si="9"/>
        <v/>
      </c>
      <c r="T143">
        <v>6</v>
      </c>
      <c r="U143">
        <v>1</v>
      </c>
    </row>
    <row r="144" spans="1:22" x14ac:dyDescent="0.35">
      <c r="A144" s="26">
        <v>44686.625</v>
      </c>
      <c r="K144" s="25">
        <v>304</v>
      </c>
      <c r="L144" s="22">
        <v>30</v>
      </c>
      <c r="Q144">
        <v>1.23</v>
      </c>
      <c r="T144">
        <v>6</v>
      </c>
      <c r="U144">
        <v>1</v>
      </c>
      <c r="V144" t="s">
        <v>68</v>
      </c>
    </row>
    <row r="145" spans="1:22" x14ac:dyDescent="0.35">
      <c r="A145" s="27">
        <v>44694.489583333336</v>
      </c>
      <c r="B145" s="24"/>
      <c r="C145" s="26"/>
      <c r="G145" t="str">
        <f t="shared" si="10"/>
        <v/>
      </c>
      <c r="I145" t="str">
        <f t="shared" si="8"/>
        <v/>
      </c>
      <c r="K145" s="25">
        <v>303</v>
      </c>
      <c r="L145" s="18">
        <f t="shared" ref="L145:L166" si="32">1.0509*A145-46932</f>
        <v>37.439103124997928</v>
      </c>
      <c r="M145" t="str">
        <f t="shared" si="9"/>
        <v/>
      </c>
      <c r="T145">
        <v>6</v>
      </c>
      <c r="U145">
        <v>1</v>
      </c>
    </row>
    <row r="146" spans="1:22" x14ac:dyDescent="0.35">
      <c r="A146" s="10">
        <v>44698.489583333336</v>
      </c>
      <c r="E146" s="28">
        <v>38</v>
      </c>
      <c r="G146">
        <f t="shared" si="10"/>
        <v>12</v>
      </c>
      <c r="I146">
        <f t="shared" si="8"/>
        <v>25.382997119999999</v>
      </c>
      <c r="K146" s="29">
        <v>302</v>
      </c>
      <c r="L146" s="18">
        <f t="shared" si="32"/>
        <v>41.642703124998661</v>
      </c>
      <c r="M146">
        <f t="shared" si="9"/>
        <v>25382.99712</v>
      </c>
      <c r="Q146">
        <v>1.64</v>
      </c>
      <c r="T146">
        <v>6</v>
      </c>
      <c r="U146">
        <v>1</v>
      </c>
    </row>
    <row r="147" spans="1:22" x14ac:dyDescent="0.35">
      <c r="A147" s="10">
        <v>44705.5625</v>
      </c>
      <c r="E147" s="29">
        <v>34</v>
      </c>
      <c r="G147">
        <f t="shared" si="10"/>
        <v>16</v>
      </c>
      <c r="I147">
        <f t="shared" si="8"/>
        <v>33.843996160000003</v>
      </c>
      <c r="K147" s="29">
        <v>302</v>
      </c>
      <c r="L147" s="18">
        <f t="shared" si="32"/>
        <v>49.075631249994331</v>
      </c>
      <c r="M147">
        <f t="shared" si="9"/>
        <v>33843.996160000002</v>
      </c>
      <c r="Q147">
        <v>1.99</v>
      </c>
      <c r="T147">
        <v>6</v>
      </c>
      <c r="U147">
        <v>1</v>
      </c>
      <c r="V147" t="s">
        <v>41</v>
      </c>
    </row>
    <row r="148" spans="1:22" x14ac:dyDescent="0.35">
      <c r="A148" s="10">
        <v>44712.5625</v>
      </c>
      <c r="E148" s="29">
        <v>29.5</v>
      </c>
      <c r="F148" s="9">
        <f>+(E148-E147)/(A148-A147)</f>
        <v>-0.6428571428571429</v>
      </c>
      <c r="G148">
        <f t="shared" si="10"/>
        <v>20.5</v>
      </c>
      <c r="I148">
        <f t="shared" si="8"/>
        <v>43.362620079999999</v>
      </c>
      <c r="K148" s="29">
        <v>302</v>
      </c>
      <c r="L148" s="18">
        <f t="shared" si="32"/>
        <v>56.431931250001071</v>
      </c>
      <c r="M148">
        <f t="shared" si="9"/>
        <v>43362.620080000001</v>
      </c>
      <c r="T148">
        <v>6</v>
      </c>
      <c r="U148">
        <v>1</v>
      </c>
      <c r="V148" t="s">
        <v>42</v>
      </c>
    </row>
    <row r="149" spans="1:22" x14ac:dyDescent="0.35">
      <c r="A149" s="27">
        <v>44712.5625</v>
      </c>
      <c r="B149" s="25"/>
      <c r="F149" s="15">
        <f>+E147-F148*A147</f>
        <v>28773.290178571431</v>
      </c>
      <c r="G149" t="str">
        <f t="shared" si="10"/>
        <v/>
      </c>
      <c r="I149" t="str">
        <f t="shared" si="8"/>
        <v/>
      </c>
      <c r="K149" s="25">
        <v>302</v>
      </c>
      <c r="L149" s="18">
        <f t="shared" si="32"/>
        <v>56.431931250001071</v>
      </c>
      <c r="M149" t="str">
        <f t="shared" si="9"/>
        <v/>
      </c>
      <c r="T149">
        <v>6</v>
      </c>
      <c r="U149">
        <v>1</v>
      </c>
      <c r="V149" t="s">
        <v>43</v>
      </c>
    </row>
    <row r="150" spans="1:22" x14ac:dyDescent="0.35">
      <c r="A150" s="10">
        <v>44713.239583333336</v>
      </c>
      <c r="B150" s="25"/>
      <c r="C150" s="25"/>
      <c r="E150">
        <f>+F148*A150+F149</f>
        <v>29.064732142855064</v>
      </c>
      <c r="G150">
        <f t="shared" si="10"/>
        <v>20.935267857144936</v>
      </c>
      <c r="I150">
        <f t="shared" si="8"/>
        <v>44.283320310361539</v>
      </c>
      <c r="L150" s="18">
        <f t="shared" si="32"/>
        <v>57.143478124999092</v>
      </c>
      <c r="M150">
        <f t="shared" si="9"/>
        <v>44283.320310361538</v>
      </c>
      <c r="T150">
        <v>6</v>
      </c>
      <c r="U150">
        <v>1</v>
      </c>
      <c r="V150" t="s">
        <v>29</v>
      </c>
    </row>
    <row r="151" spans="1:22" x14ac:dyDescent="0.35">
      <c r="A151" s="10">
        <v>44713.298611111109</v>
      </c>
      <c r="E151" s="29">
        <v>46</v>
      </c>
      <c r="G151">
        <f t="shared" si="10"/>
        <v>4</v>
      </c>
      <c r="I151">
        <f t="shared" si="8"/>
        <v>8.4609990400000008</v>
      </c>
      <c r="L151" s="18">
        <f t="shared" si="32"/>
        <v>57.205510416664765</v>
      </c>
      <c r="M151">
        <f t="shared" si="9"/>
        <v>8460.9990400000006</v>
      </c>
      <c r="T151">
        <v>6</v>
      </c>
      <c r="U151">
        <v>1</v>
      </c>
    </row>
    <row r="152" spans="1:22" x14ac:dyDescent="0.35">
      <c r="A152" s="27">
        <v>44713.59375</v>
      </c>
      <c r="B152" s="25"/>
      <c r="G152" t="str">
        <f t="shared" si="10"/>
        <v/>
      </c>
      <c r="I152" t="str">
        <f t="shared" si="8"/>
        <v/>
      </c>
      <c r="K152" s="25">
        <v>301</v>
      </c>
      <c r="L152" s="18">
        <f t="shared" si="32"/>
        <v>57.515671875000407</v>
      </c>
      <c r="M152" t="str">
        <f t="shared" si="9"/>
        <v/>
      </c>
      <c r="T152">
        <v>6</v>
      </c>
      <c r="U152">
        <v>1</v>
      </c>
    </row>
    <row r="153" spans="1:22" x14ac:dyDescent="0.35">
      <c r="A153" s="27">
        <v>44714.59375</v>
      </c>
      <c r="B153" s="25"/>
      <c r="G153" t="str">
        <f t="shared" si="10"/>
        <v/>
      </c>
      <c r="I153" t="str">
        <f t="shared" si="8"/>
        <v/>
      </c>
      <c r="K153" s="25">
        <v>272</v>
      </c>
      <c r="L153" s="18">
        <f t="shared" si="32"/>
        <v>58.566571874995134</v>
      </c>
      <c r="M153" t="str">
        <f t="shared" si="9"/>
        <v/>
      </c>
      <c r="Q153">
        <v>2.2999999999999998</v>
      </c>
      <c r="T153">
        <v>6</v>
      </c>
      <c r="U153">
        <v>1</v>
      </c>
    </row>
    <row r="154" spans="1:22" x14ac:dyDescent="0.35">
      <c r="A154" s="10">
        <v>44719.59375</v>
      </c>
      <c r="E154" s="29">
        <v>38</v>
      </c>
      <c r="G154">
        <f t="shared" si="10"/>
        <v>12</v>
      </c>
      <c r="I154">
        <f t="shared" si="8"/>
        <v>25.382997119999999</v>
      </c>
      <c r="K154" s="29">
        <v>272</v>
      </c>
      <c r="L154" s="18">
        <f t="shared" si="32"/>
        <v>63.82107187499787</v>
      </c>
      <c r="M154">
        <f t="shared" si="9"/>
        <v>25382.99712</v>
      </c>
      <c r="T154">
        <v>6</v>
      </c>
      <c r="U154">
        <v>1</v>
      </c>
    </row>
    <row r="155" spans="1:22" x14ac:dyDescent="0.35">
      <c r="A155" s="27">
        <v>44725.59375</v>
      </c>
      <c r="E155" s="25"/>
      <c r="G155" t="str">
        <f t="shared" si="10"/>
        <v/>
      </c>
      <c r="I155" t="str">
        <f t="shared" si="8"/>
        <v/>
      </c>
      <c r="K155" s="25">
        <v>271</v>
      </c>
      <c r="L155" s="18">
        <f t="shared" si="32"/>
        <v>70.126471874995332</v>
      </c>
      <c r="M155" t="str">
        <f t="shared" si="9"/>
        <v/>
      </c>
      <c r="Q155">
        <v>2.5499999999999998</v>
      </c>
      <c r="T155">
        <v>6</v>
      </c>
      <c r="U155">
        <v>1</v>
      </c>
    </row>
    <row r="156" spans="1:22" x14ac:dyDescent="0.35">
      <c r="A156" s="10">
        <v>44726.302083333336</v>
      </c>
      <c r="E156" s="29">
        <v>33.5</v>
      </c>
      <c r="G156">
        <f t="shared" si="10"/>
        <v>16.5</v>
      </c>
      <c r="I156">
        <f t="shared" si="8"/>
        <v>34.901621040000002</v>
      </c>
      <c r="K156" s="29">
        <v>271</v>
      </c>
      <c r="L156" s="18">
        <f t="shared" si="32"/>
        <v>70.870859374997963</v>
      </c>
      <c r="M156">
        <f t="shared" si="9"/>
        <v>34901.621040000005</v>
      </c>
      <c r="T156">
        <v>6</v>
      </c>
      <c r="U156">
        <v>1</v>
      </c>
    </row>
    <row r="157" spans="1:22" x14ac:dyDescent="0.35">
      <c r="A157" s="27">
        <v>44728.59375</v>
      </c>
      <c r="E157" s="25"/>
      <c r="G157" t="str">
        <f t="shared" si="10"/>
        <v/>
      </c>
      <c r="I157" t="str">
        <f t="shared" si="8"/>
        <v/>
      </c>
      <c r="K157" s="25">
        <v>270</v>
      </c>
      <c r="L157" s="18">
        <f t="shared" si="32"/>
        <v>73.279171874994063</v>
      </c>
      <c r="M157" t="str">
        <f t="shared" si="9"/>
        <v/>
      </c>
      <c r="T157">
        <v>6</v>
      </c>
      <c r="U157">
        <v>1</v>
      </c>
    </row>
    <row r="158" spans="1:22" x14ac:dyDescent="0.35">
      <c r="A158" s="27">
        <v>44732.59375</v>
      </c>
      <c r="E158" s="25"/>
      <c r="G158" t="str">
        <f t="shared" si="10"/>
        <v/>
      </c>
      <c r="I158" t="str">
        <f t="shared" si="8"/>
        <v/>
      </c>
      <c r="K158" s="25">
        <v>268</v>
      </c>
      <c r="L158" s="18">
        <f t="shared" si="32"/>
        <v>77.482771874994796</v>
      </c>
      <c r="M158" t="str">
        <f t="shared" si="9"/>
        <v/>
      </c>
      <c r="T158">
        <v>6</v>
      </c>
      <c r="U158">
        <v>1</v>
      </c>
    </row>
    <row r="159" spans="1:22" x14ac:dyDescent="0.35">
      <c r="A159" s="10">
        <v>44733.385416666664</v>
      </c>
      <c r="E159" s="29">
        <v>28</v>
      </c>
      <c r="G159">
        <f t="shared" si="10"/>
        <v>22</v>
      </c>
      <c r="I159">
        <f t="shared" si="8"/>
        <v>46.535494720000003</v>
      </c>
      <c r="K159" s="29">
        <v>268</v>
      </c>
      <c r="L159" s="18">
        <f t="shared" si="32"/>
        <v>78.314734374995169</v>
      </c>
      <c r="M159">
        <f t="shared" si="9"/>
        <v>46535.494720000002</v>
      </c>
      <c r="T159">
        <v>6</v>
      </c>
      <c r="U159">
        <v>1</v>
      </c>
    </row>
    <row r="160" spans="1:22" x14ac:dyDescent="0.35">
      <c r="A160" s="27">
        <v>44735.59375</v>
      </c>
      <c r="E160" s="25"/>
      <c r="G160" t="str">
        <f t="shared" si="10"/>
        <v/>
      </c>
      <c r="I160" t="str">
        <f t="shared" si="8"/>
        <v/>
      </c>
      <c r="K160" s="25">
        <v>267</v>
      </c>
      <c r="L160" s="18">
        <f t="shared" si="32"/>
        <v>80.635471875000803</v>
      </c>
      <c r="M160" t="str">
        <f t="shared" si="9"/>
        <v/>
      </c>
      <c r="Q160">
        <v>2.74</v>
      </c>
      <c r="T160">
        <v>6</v>
      </c>
      <c r="U160">
        <v>1</v>
      </c>
    </row>
    <row r="161" spans="1:22" x14ac:dyDescent="0.35">
      <c r="A161" s="27">
        <v>44736.59375</v>
      </c>
      <c r="E161" s="25"/>
      <c r="G161" t="str">
        <f t="shared" si="10"/>
        <v/>
      </c>
      <c r="I161" t="str">
        <f t="shared" si="8"/>
        <v/>
      </c>
      <c r="K161" s="25">
        <v>266</v>
      </c>
      <c r="L161" s="18">
        <f t="shared" si="32"/>
        <v>81.68637187499553</v>
      </c>
      <c r="M161" t="str">
        <f t="shared" si="9"/>
        <v/>
      </c>
      <c r="T161">
        <v>6</v>
      </c>
      <c r="U161">
        <v>1</v>
      </c>
    </row>
    <row r="162" spans="1:22" x14ac:dyDescent="0.35">
      <c r="A162" s="27">
        <v>44739.59375</v>
      </c>
      <c r="E162" s="25"/>
      <c r="G162" t="str">
        <f t="shared" si="10"/>
        <v/>
      </c>
      <c r="I162" t="str">
        <f t="shared" si="8"/>
        <v/>
      </c>
      <c r="K162" s="25">
        <v>265</v>
      </c>
      <c r="L162" s="18">
        <f t="shared" si="32"/>
        <v>84.839071874994261</v>
      </c>
      <c r="M162" t="str">
        <f t="shared" si="9"/>
        <v/>
      </c>
      <c r="Q162" s="16"/>
      <c r="T162">
        <v>6</v>
      </c>
      <c r="U162">
        <v>1</v>
      </c>
    </row>
    <row r="163" spans="1:22" x14ac:dyDescent="0.35">
      <c r="A163" s="10">
        <v>44740.319444444445</v>
      </c>
      <c r="E163" s="29">
        <v>22.5</v>
      </c>
      <c r="G163">
        <f t="shared" si="10"/>
        <v>27.5</v>
      </c>
      <c r="I163">
        <f t="shared" si="8"/>
        <v>58.16936840000001</v>
      </c>
      <c r="K163" s="29">
        <v>265</v>
      </c>
      <c r="L163" s="18">
        <f t="shared" si="32"/>
        <v>85.601704166663694</v>
      </c>
      <c r="M163">
        <f t="shared" si="9"/>
        <v>58169.368400000014</v>
      </c>
      <c r="T163">
        <v>6</v>
      </c>
      <c r="U163">
        <v>1</v>
      </c>
    </row>
    <row r="164" spans="1:22" x14ac:dyDescent="0.35">
      <c r="A164" s="10">
        <v>44741.25</v>
      </c>
      <c r="B164" s="29"/>
      <c r="C164" s="29"/>
      <c r="E164" s="29">
        <v>21</v>
      </c>
      <c r="G164">
        <f t="shared" si="10"/>
        <v>29</v>
      </c>
      <c r="I164">
        <f t="shared" si="8"/>
        <v>61.34224304</v>
      </c>
      <c r="L164" s="18">
        <f t="shared" si="32"/>
        <v>86.579624999998487</v>
      </c>
      <c r="M164">
        <f t="shared" si="9"/>
        <v>61342.243040000001</v>
      </c>
      <c r="T164">
        <v>6</v>
      </c>
      <c r="U164">
        <v>1</v>
      </c>
    </row>
    <row r="165" spans="1:22" x14ac:dyDescent="0.35">
      <c r="A165" s="10">
        <v>44741.25</v>
      </c>
      <c r="E165">
        <v>21</v>
      </c>
      <c r="G165">
        <f t="shared" si="10"/>
        <v>29</v>
      </c>
      <c r="I165">
        <f t="shared" si="8"/>
        <v>61.34224304</v>
      </c>
      <c r="L165" s="18">
        <f t="shared" si="32"/>
        <v>86.579624999998487</v>
      </c>
      <c r="M165">
        <f t="shared" si="9"/>
        <v>61342.243040000001</v>
      </c>
      <c r="T165">
        <v>6</v>
      </c>
      <c r="U165">
        <v>1</v>
      </c>
    </row>
    <row r="166" spans="1:22" x14ac:dyDescent="0.35">
      <c r="A166" s="10">
        <v>44741.350694444445</v>
      </c>
      <c r="E166" s="29">
        <v>45</v>
      </c>
      <c r="G166">
        <f t="shared" si="10"/>
        <v>5</v>
      </c>
      <c r="I166">
        <f t="shared" si="8"/>
        <v>10.576248800000002</v>
      </c>
      <c r="L166" s="18">
        <f t="shared" si="32"/>
        <v>86.685444791663031</v>
      </c>
      <c r="M166">
        <f t="shared" si="9"/>
        <v>10576.248800000001</v>
      </c>
      <c r="T166">
        <v>6</v>
      </c>
      <c r="U166">
        <v>1</v>
      </c>
    </row>
    <row r="167" spans="1:22" x14ac:dyDescent="0.35">
      <c r="A167" s="3">
        <v>44743.493055555555</v>
      </c>
      <c r="E167" s="29"/>
      <c r="K167">
        <v>265</v>
      </c>
      <c r="L167" s="18"/>
      <c r="T167">
        <v>6</v>
      </c>
      <c r="U167">
        <v>1</v>
      </c>
      <c r="V167" t="s">
        <v>69</v>
      </c>
    </row>
    <row r="168" spans="1:22" x14ac:dyDescent="0.35">
      <c r="A168" s="3">
        <v>44743.5</v>
      </c>
      <c r="E168" s="29"/>
      <c r="K168">
        <v>266</v>
      </c>
      <c r="L168" s="18">
        <v>90</v>
      </c>
      <c r="Q168">
        <v>2.86</v>
      </c>
      <c r="T168">
        <v>6</v>
      </c>
      <c r="U168">
        <v>1</v>
      </c>
      <c r="V168" t="s">
        <v>152</v>
      </c>
    </row>
    <row r="169" spans="1:22" x14ac:dyDescent="0.35">
      <c r="A169" s="3">
        <v>44747.371527777781</v>
      </c>
      <c r="E169" s="5">
        <v>39</v>
      </c>
      <c r="G169">
        <f t="shared" si="10"/>
        <v>11</v>
      </c>
      <c r="I169">
        <f t="shared" si="8"/>
        <v>23.267747360000001</v>
      </c>
      <c r="K169" s="5">
        <v>266</v>
      </c>
      <c r="L169" s="18">
        <f t="shared" ref="L169:L174" si="33">1.0509*A169-46932</f>
        <v>93.012738541670842</v>
      </c>
      <c r="M169">
        <f t="shared" si="9"/>
        <v>23267.747360000001</v>
      </c>
      <c r="T169">
        <v>6</v>
      </c>
      <c r="U169">
        <v>1</v>
      </c>
    </row>
    <row r="170" spans="1:22" x14ac:dyDescent="0.35">
      <c r="A170" s="4">
        <v>44747.413194444445</v>
      </c>
      <c r="E170" s="7"/>
      <c r="G170" t="str">
        <f t="shared" si="10"/>
        <v/>
      </c>
      <c r="I170" t="str">
        <f t="shared" si="8"/>
        <v/>
      </c>
      <c r="K170" s="7">
        <v>181</v>
      </c>
      <c r="L170" s="18">
        <f t="shared" si="33"/>
        <v>93.056526041662437</v>
      </c>
      <c r="M170" t="str">
        <f t="shared" si="9"/>
        <v/>
      </c>
      <c r="T170">
        <v>6</v>
      </c>
      <c r="U170">
        <v>1</v>
      </c>
      <c r="V170" t="s">
        <v>70</v>
      </c>
    </row>
    <row r="171" spans="1:22" x14ac:dyDescent="0.35">
      <c r="A171" s="3">
        <v>44754.322916666664</v>
      </c>
      <c r="E171" s="5">
        <v>35</v>
      </c>
      <c r="G171">
        <f t="shared" si="10"/>
        <v>15</v>
      </c>
      <c r="I171">
        <f t="shared" si="8"/>
        <v>31.728746399999999</v>
      </c>
      <c r="K171" s="19">
        <v>181</v>
      </c>
      <c r="L171" s="18">
        <f t="shared" si="33"/>
        <v>100.31795312499162</v>
      </c>
      <c r="M171">
        <f t="shared" si="9"/>
        <v>31728.7464</v>
      </c>
      <c r="Q171">
        <v>2.91</v>
      </c>
      <c r="T171">
        <v>6</v>
      </c>
      <c r="U171">
        <v>1</v>
      </c>
    </row>
    <row r="172" spans="1:22" x14ac:dyDescent="0.35">
      <c r="A172" s="23">
        <v>44755.236111111109</v>
      </c>
      <c r="B172" s="5"/>
      <c r="C172" s="8"/>
      <c r="E172" s="25">
        <v>34</v>
      </c>
      <c r="F172" s="9">
        <f>+(E172-E171)/(A172-A171)</f>
        <v>-1.0950570342195629</v>
      </c>
      <c r="G172">
        <f t="shared" si="10"/>
        <v>16</v>
      </c>
      <c r="I172">
        <f t="shared" ref="I172:I273" si="34">+IF(ISBLANK(E172),"",(G172/100)*$C$2)</f>
        <v>33.843996160000003</v>
      </c>
      <c r="L172" s="18">
        <f t="shared" si="33"/>
        <v>101.27762916665961</v>
      </c>
      <c r="M172">
        <f t="shared" ref="M172:M273" si="35">IF(ISBLANK(E172),"",+I172*$H$2)</f>
        <v>33843.996160000002</v>
      </c>
      <c r="T172">
        <v>6</v>
      </c>
      <c r="U172">
        <v>1</v>
      </c>
    </row>
    <row r="173" spans="1:22" x14ac:dyDescent="0.35">
      <c r="A173" s="23">
        <v>44755.263888888891</v>
      </c>
      <c r="E173" s="11">
        <f>+F172*A173+F173</f>
        <v>33.969581749042845</v>
      </c>
      <c r="F173" s="15">
        <f>+E171-F172*A171</f>
        <v>49043.536121629615</v>
      </c>
      <c r="G173">
        <f t="shared" ref="G173:G273" si="36">IF(ISBLANK(E173),"",+$B$2-E173)</f>
        <v>16.030418250957155</v>
      </c>
      <c r="I173">
        <f t="shared" si="34"/>
        <v>33.908338358036744</v>
      </c>
      <c r="L173" s="18">
        <f t="shared" si="33"/>
        <v>101.30682083333522</v>
      </c>
      <c r="M173">
        <f t="shared" si="35"/>
        <v>33908.338358036744</v>
      </c>
      <c r="T173">
        <v>6</v>
      </c>
      <c r="U173">
        <v>1</v>
      </c>
      <c r="V173" t="s">
        <v>71</v>
      </c>
    </row>
    <row r="174" spans="1:22" x14ac:dyDescent="0.35">
      <c r="A174" s="23">
        <v>44755.291666666664</v>
      </c>
      <c r="E174" s="25">
        <v>46</v>
      </c>
      <c r="G174">
        <f t="shared" si="36"/>
        <v>4</v>
      </c>
      <c r="I174">
        <f t="shared" si="34"/>
        <v>8.4609990400000008</v>
      </c>
      <c r="L174" s="18">
        <f t="shared" si="33"/>
        <v>101.33601249999629</v>
      </c>
      <c r="M174">
        <f t="shared" si="35"/>
        <v>8460.9990400000006</v>
      </c>
      <c r="T174">
        <v>6</v>
      </c>
      <c r="U174">
        <v>1</v>
      </c>
    </row>
    <row r="175" spans="1:22" x14ac:dyDescent="0.35">
      <c r="A175" s="27">
        <v>44755.493055555555</v>
      </c>
      <c r="E175" s="25"/>
      <c r="G175" t="str">
        <f t="shared" si="36"/>
        <v/>
      </c>
      <c r="I175" t="str">
        <f t="shared" si="34"/>
        <v/>
      </c>
      <c r="K175">
        <v>181</v>
      </c>
      <c r="L175" s="18"/>
      <c r="M175" t="str">
        <f t="shared" si="35"/>
        <v/>
      </c>
      <c r="T175">
        <v>6</v>
      </c>
      <c r="U175">
        <v>1</v>
      </c>
      <c r="V175" t="s">
        <v>69</v>
      </c>
    </row>
    <row r="176" spans="1:22" x14ac:dyDescent="0.35">
      <c r="A176" s="27">
        <v>44755.5</v>
      </c>
      <c r="B176" s="25"/>
      <c r="G176" t="str">
        <f t="shared" si="36"/>
        <v/>
      </c>
      <c r="I176" t="str">
        <f t="shared" si="34"/>
        <v/>
      </c>
      <c r="K176" s="25">
        <v>180</v>
      </c>
      <c r="L176" s="18">
        <f>1.0509*A176-46932</f>
        <v>101.55494999999792</v>
      </c>
      <c r="M176" t="str">
        <f t="shared" si="35"/>
        <v/>
      </c>
      <c r="T176">
        <v>6</v>
      </c>
      <c r="U176">
        <v>1</v>
      </c>
      <c r="V176" t="s">
        <v>153</v>
      </c>
    </row>
    <row r="177" spans="1:22" x14ac:dyDescent="0.35">
      <c r="A177" s="4">
        <v>44756.493055555555</v>
      </c>
      <c r="B177" s="25"/>
      <c r="G177" t="str">
        <f t="shared" si="36"/>
        <v/>
      </c>
      <c r="I177" t="str">
        <f t="shared" si="34"/>
        <v/>
      </c>
      <c r="K177" s="25">
        <v>180</v>
      </c>
      <c r="L177" s="18"/>
      <c r="M177" t="str">
        <f t="shared" si="35"/>
        <v/>
      </c>
      <c r="T177">
        <v>6</v>
      </c>
      <c r="U177">
        <v>1</v>
      </c>
      <c r="V177" t="s">
        <v>153</v>
      </c>
    </row>
    <row r="178" spans="1:22" x14ac:dyDescent="0.35">
      <c r="A178" s="4">
        <v>44756.5</v>
      </c>
      <c r="B178" s="25"/>
      <c r="G178" t="str">
        <f t="shared" si="36"/>
        <v/>
      </c>
      <c r="I178" t="str">
        <f t="shared" si="34"/>
        <v/>
      </c>
      <c r="K178" s="7">
        <v>179</v>
      </c>
      <c r="L178" s="18">
        <f>1.0509*A178-46932</f>
        <v>102.60584999999992</v>
      </c>
      <c r="M178" t="str">
        <f t="shared" si="35"/>
        <v/>
      </c>
      <c r="T178">
        <v>6</v>
      </c>
      <c r="U178">
        <v>1</v>
      </c>
      <c r="V178" t="s">
        <v>44</v>
      </c>
    </row>
    <row r="179" spans="1:22" x14ac:dyDescent="0.35">
      <c r="A179" s="27">
        <v>44761.583333333336</v>
      </c>
      <c r="B179" s="25"/>
      <c r="G179" t="str">
        <f t="shared" si="36"/>
        <v/>
      </c>
      <c r="I179" t="str">
        <f t="shared" si="34"/>
        <v/>
      </c>
      <c r="K179" s="25">
        <v>179</v>
      </c>
      <c r="L179" s="18">
        <v>115</v>
      </c>
      <c r="M179" t="str">
        <f t="shared" si="35"/>
        <v/>
      </c>
      <c r="Q179">
        <v>2.83</v>
      </c>
      <c r="T179">
        <v>6</v>
      </c>
      <c r="U179">
        <v>1</v>
      </c>
      <c r="V179" t="s">
        <v>72</v>
      </c>
    </row>
    <row r="180" spans="1:22" x14ac:dyDescent="0.35">
      <c r="A180" s="27">
        <v>44761.666666666664</v>
      </c>
      <c r="B180" s="25"/>
      <c r="E180">
        <v>36</v>
      </c>
      <c r="G180">
        <f t="shared" si="36"/>
        <v>14</v>
      </c>
      <c r="I180">
        <f t="shared" si="34"/>
        <v>29.613496640000005</v>
      </c>
      <c r="K180" s="25">
        <v>0</v>
      </c>
      <c r="L180" s="18"/>
      <c r="M180">
        <f t="shared" si="35"/>
        <v>29613.496640000005</v>
      </c>
      <c r="T180">
        <v>6</v>
      </c>
      <c r="U180">
        <v>1</v>
      </c>
      <c r="V180" t="s">
        <v>157</v>
      </c>
    </row>
    <row r="181" spans="1:22" x14ac:dyDescent="0.35">
      <c r="A181" s="23">
        <v>44763.55972222222</v>
      </c>
      <c r="E181" s="30">
        <v>36</v>
      </c>
      <c r="G181">
        <f t="shared" si="36"/>
        <v>14</v>
      </c>
      <c r="I181">
        <f t="shared" si="34"/>
        <v>29.613496640000005</v>
      </c>
      <c r="K181" s="25">
        <v>0</v>
      </c>
      <c r="L181" s="18"/>
      <c r="M181">
        <f t="shared" si="35"/>
        <v>29613.496640000005</v>
      </c>
      <c r="T181">
        <v>6</v>
      </c>
      <c r="U181">
        <v>1</v>
      </c>
      <c r="V181" t="s">
        <v>73</v>
      </c>
    </row>
    <row r="182" spans="1:22" x14ac:dyDescent="0.35">
      <c r="A182" s="23">
        <v>44768.395833333336</v>
      </c>
      <c r="E182" s="30">
        <v>37</v>
      </c>
      <c r="G182">
        <f t="shared" si="36"/>
        <v>13</v>
      </c>
      <c r="I182">
        <f t="shared" si="34"/>
        <v>27.498246880000004</v>
      </c>
      <c r="K182" s="25">
        <v>0</v>
      </c>
      <c r="M182">
        <f t="shared" si="35"/>
        <v>27498.246880000002</v>
      </c>
      <c r="T182">
        <v>6</v>
      </c>
      <c r="U182">
        <v>1</v>
      </c>
    </row>
    <row r="183" spans="1:22" x14ac:dyDescent="0.35">
      <c r="A183" s="23">
        <v>44768.604166666664</v>
      </c>
      <c r="E183" s="30">
        <v>37</v>
      </c>
      <c r="G183">
        <f t="shared" si="36"/>
        <v>13</v>
      </c>
      <c r="I183">
        <f t="shared" si="34"/>
        <v>27.498246880000004</v>
      </c>
      <c r="K183" s="25"/>
      <c r="M183">
        <f t="shared" si="35"/>
        <v>27498.246880000002</v>
      </c>
      <c r="T183">
        <v>6</v>
      </c>
      <c r="U183">
        <v>1</v>
      </c>
      <c r="V183" t="s">
        <v>150</v>
      </c>
    </row>
    <row r="184" spans="1:22" x14ac:dyDescent="0.35">
      <c r="A184" s="23">
        <v>44781.25</v>
      </c>
      <c r="E184" s="30">
        <v>37</v>
      </c>
      <c r="G184">
        <f t="shared" si="36"/>
        <v>13</v>
      </c>
      <c r="I184">
        <f t="shared" si="34"/>
        <v>27.498246880000004</v>
      </c>
      <c r="K184" s="25"/>
      <c r="M184">
        <f t="shared" si="35"/>
        <v>27498.246880000002</v>
      </c>
      <c r="T184">
        <v>6</v>
      </c>
      <c r="U184">
        <v>1</v>
      </c>
      <c r="V184" t="s">
        <v>151</v>
      </c>
    </row>
    <row r="185" spans="1:22" x14ac:dyDescent="0.35">
      <c r="A185" s="31"/>
      <c r="B185" s="30"/>
      <c r="C185" s="25"/>
      <c r="G185" t="str">
        <f t="shared" si="36"/>
        <v/>
      </c>
      <c r="I185" t="str">
        <f t="shared" si="34"/>
        <v/>
      </c>
      <c r="M185" t="str">
        <f t="shared" si="35"/>
        <v/>
      </c>
      <c r="R185">
        <v>174768</v>
      </c>
    </row>
    <row r="186" spans="1:22" x14ac:dyDescent="0.35">
      <c r="A186" s="27">
        <v>44781.270833333336</v>
      </c>
      <c r="E186" s="25">
        <v>44</v>
      </c>
      <c r="G186">
        <f t="shared" si="36"/>
        <v>6</v>
      </c>
      <c r="I186">
        <f t="shared" si="34"/>
        <v>12.691498559999999</v>
      </c>
      <c r="K186">
        <v>0</v>
      </c>
      <c r="M186">
        <f t="shared" si="35"/>
        <v>12691.49856</v>
      </c>
      <c r="T186">
        <v>6</v>
      </c>
      <c r="U186">
        <v>2</v>
      </c>
      <c r="V186" t="s">
        <v>96</v>
      </c>
    </row>
    <row r="187" spans="1:22" x14ac:dyDescent="0.35">
      <c r="A187" s="27">
        <v>44781.395833333336</v>
      </c>
      <c r="G187" t="str">
        <f t="shared" si="36"/>
        <v/>
      </c>
      <c r="I187" t="str">
        <f t="shared" si="34"/>
        <v/>
      </c>
      <c r="K187" s="25">
        <v>0</v>
      </c>
      <c r="M187" t="str">
        <f t="shared" si="35"/>
        <v/>
      </c>
      <c r="T187">
        <v>6</v>
      </c>
      <c r="U187">
        <v>2</v>
      </c>
      <c r="V187" t="s">
        <v>95</v>
      </c>
    </row>
    <row r="188" spans="1:22" x14ac:dyDescent="0.35">
      <c r="A188" s="27">
        <v>44781.479166666664</v>
      </c>
      <c r="K188" s="25">
        <v>26</v>
      </c>
      <c r="L188">
        <v>30</v>
      </c>
      <c r="Q188">
        <v>1.23</v>
      </c>
      <c r="T188">
        <v>6</v>
      </c>
      <c r="U188">
        <v>2</v>
      </c>
      <c r="V188" t="s">
        <v>74</v>
      </c>
    </row>
    <row r="189" spans="1:22" x14ac:dyDescent="0.35">
      <c r="A189" s="27">
        <v>44783.493055555555</v>
      </c>
      <c r="K189" s="25">
        <v>26</v>
      </c>
      <c r="T189">
        <v>6</v>
      </c>
      <c r="U189">
        <v>2</v>
      </c>
      <c r="V189" t="s">
        <v>75</v>
      </c>
    </row>
    <row r="190" spans="1:22" x14ac:dyDescent="0.35">
      <c r="A190" s="27">
        <v>44783.5</v>
      </c>
      <c r="G190" t="str">
        <f t="shared" si="36"/>
        <v/>
      </c>
      <c r="I190" t="str">
        <f t="shared" si="34"/>
        <v/>
      </c>
      <c r="K190" s="25">
        <v>25</v>
      </c>
      <c r="L190" s="11">
        <f>1.0264*A190-45935</f>
        <v>30.784399999996822</v>
      </c>
      <c r="M190" t="str">
        <f t="shared" si="35"/>
        <v/>
      </c>
      <c r="T190">
        <v>6</v>
      </c>
      <c r="U190">
        <v>2</v>
      </c>
      <c r="V190" t="s">
        <v>37</v>
      </c>
    </row>
    <row r="191" spans="1:22" x14ac:dyDescent="0.35">
      <c r="A191" s="27">
        <v>44784.5</v>
      </c>
      <c r="G191" t="str">
        <f t="shared" si="36"/>
        <v/>
      </c>
      <c r="I191" t="str">
        <f t="shared" si="34"/>
        <v/>
      </c>
      <c r="K191">
        <v>25</v>
      </c>
      <c r="L191" s="11">
        <f>1.0264*A191-45935</f>
        <v>31.81079999999929</v>
      </c>
      <c r="M191" t="str">
        <f t="shared" si="35"/>
        <v/>
      </c>
      <c r="T191">
        <v>6</v>
      </c>
      <c r="U191">
        <v>2</v>
      </c>
      <c r="V191" t="s">
        <v>97</v>
      </c>
    </row>
    <row r="192" spans="1:22" x14ac:dyDescent="0.35">
      <c r="A192" s="27">
        <v>44784.583333333336</v>
      </c>
      <c r="G192" t="str">
        <f t="shared" si="36"/>
        <v/>
      </c>
      <c r="I192" t="str">
        <f t="shared" si="34"/>
        <v/>
      </c>
      <c r="K192" s="25">
        <v>290</v>
      </c>
      <c r="L192" s="11">
        <f>1.0264*A192-45935</f>
        <v>31.89633333333768</v>
      </c>
      <c r="M192" t="str">
        <f t="shared" si="35"/>
        <v/>
      </c>
      <c r="T192">
        <v>6</v>
      </c>
      <c r="U192">
        <v>2</v>
      </c>
      <c r="V192" t="s">
        <v>76</v>
      </c>
    </row>
    <row r="193" spans="1:22" x14ac:dyDescent="0.35">
      <c r="A193" s="10">
        <v>44789.395833333336</v>
      </c>
      <c r="E193" s="29">
        <v>43</v>
      </c>
      <c r="G193">
        <f t="shared" si="36"/>
        <v>7</v>
      </c>
      <c r="I193">
        <f t="shared" si="34"/>
        <v>14.806748320000002</v>
      </c>
      <c r="K193" s="29">
        <v>290</v>
      </c>
      <c r="L193" s="11">
        <f>1.0264*A193-45935</f>
        <v>36.835883333333186</v>
      </c>
      <c r="M193">
        <f t="shared" si="35"/>
        <v>14806.748320000002</v>
      </c>
      <c r="T193">
        <v>6</v>
      </c>
      <c r="U193">
        <v>2</v>
      </c>
    </row>
    <row r="194" spans="1:22" x14ac:dyDescent="0.35">
      <c r="A194" s="27">
        <v>44791.493055555555</v>
      </c>
      <c r="E194" s="29"/>
      <c r="K194" s="29">
        <v>290</v>
      </c>
      <c r="L194" s="11"/>
      <c r="T194">
        <v>6</v>
      </c>
      <c r="U194">
        <v>2</v>
      </c>
      <c r="V194" t="s">
        <v>75</v>
      </c>
    </row>
    <row r="195" spans="1:22" x14ac:dyDescent="0.35">
      <c r="A195" s="27">
        <v>44791.5</v>
      </c>
      <c r="E195" s="25"/>
      <c r="G195" t="str">
        <f t="shared" si="36"/>
        <v/>
      </c>
      <c r="I195" t="str">
        <f t="shared" si="34"/>
        <v/>
      </c>
      <c r="K195" s="25">
        <v>289</v>
      </c>
      <c r="L195" s="11">
        <f>1.0264*A195-45935</f>
        <v>38.995600000002014</v>
      </c>
      <c r="M195" t="str">
        <f t="shared" si="35"/>
        <v/>
      </c>
      <c r="T195">
        <v>6</v>
      </c>
      <c r="U195">
        <v>2</v>
      </c>
      <c r="V195" t="s">
        <v>37</v>
      </c>
    </row>
    <row r="196" spans="1:22" x14ac:dyDescent="0.35">
      <c r="A196" s="27">
        <v>44792.493055555555</v>
      </c>
      <c r="E196" s="25"/>
      <c r="K196" s="25">
        <v>289</v>
      </c>
      <c r="L196" s="11"/>
      <c r="T196">
        <v>6</v>
      </c>
      <c r="U196">
        <v>2</v>
      </c>
      <c r="V196" t="s">
        <v>75</v>
      </c>
    </row>
    <row r="197" spans="1:22" x14ac:dyDescent="0.35">
      <c r="A197" s="27">
        <v>44792.5</v>
      </c>
      <c r="E197" s="25"/>
      <c r="G197" t="str">
        <f t="shared" si="36"/>
        <v/>
      </c>
      <c r="I197" t="str">
        <f t="shared" si="34"/>
        <v/>
      </c>
      <c r="K197" s="25">
        <v>288</v>
      </c>
      <c r="L197" s="11">
        <f>1.0264*A197-45935</f>
        <v>40.021999999997206</v>
      </c>
      <c r="M197" t="str">
        <f t="shared" si="35"/>
        <v/>
      </c>
      <c r="Q197">
        <v>1.64</v>
      </c>
      <c r="T197">
        <v>6</v>
      </c>
      <c r="U197">
        <v>2</v>
      </c>
      <c r="V197" t="s">
        <v>37</v>
      </c>
    </row>
    <row r="198" spans="1:22" x14ac:dyDescent="0.35">
      <c r="A198" s="10">
        <v>44796.388888888891</v>
      </c>
      <c r="E198" s="25"/>
      <c r="K198" s="25">
        <v>288</v>
      </c>
      <c r="L198" s="11"/>
      <c r="T198">
        <v>6</v>
      </c>
      <c r="U198">
        <v>2</v>
      </c>
      <c r="V198" t="s">
        <v>77</v>
      </c>
    </row>
    <row r="199" spans="1:22" x14ac:dyDescent="0.35">
      <c r="A199" s="10">
        <v>44796.395833333336</v>
      </c>
      <c r="E199" s="29">
        <v>40</v>
      </c>
      <c r="G199">
        <f t="shared" si="36"/>
        <v>10</v>
      </c>
      <c r="I199">
        <f t="shared" si="34"/>
        <v>21.152497600000004</v>
      </c>
      <c r="K199" s="29">
        <v>287</v>
      </c>
      <c r="L199" s="11">
        <f>1.0264*A199-45935</f>
        <v>44.02068333333591</v>
      </c>
      <c r="M199">
        <f t="shared" si="35"/>
        <v>21152.497600000002</v>
      </c>
      <c r="T199">
        <v>6</v>
      </c>
      <c r="U199">
        <v>2</v>
      </c>
      <c r="V199" s="16" t="s">
        <v>53</v>
      </c>
    </row>
    <row r="200" spans="1:22" x14ac:dyDescent="0.35">
      <c r="A200" s="27">
        <v>44798.486111111109</v>
      </c>
      <c r="E200" s="29"/>
      <c r="K200" s="29">
        <v>287</v>
      </c>
      <c r="L200" s="11"/>
      <c r="T200">
        <v>6</v>
      </c>
      <c r="U200">
        <v>2</v>
      </c>
      <c r="V200" s="16" t="s">
        <v>78</v>
      </c>
    </row>
    <row r="201" spans="1:22" x14ac:dyDescent="0.35">
      <c r="A201" s="27">
        <v>44798.5</v>
      </c>
      <c r="B201" s="25"/>
      <c r="G201" t="str">
        <f t="shared" si="36"/>
        <v/>
      </c>
      <c r="I201" t="str">
        <f t="shared" si="34"/>
        <v/>
      </c>
      <c r="K201" s="25">
        <v>284</v>
      </c>
      <c r="L201" s="11">
        <f>1.0264*A201-45935</f>
        <v>46.180399999997462</v>
      </c>
      <c r="M201" t="str">
        <f t="shared" si="35"/>
        <v/>
      </c>
      <c r="T201">
        <v>6</v>
      </c>
      <c r="U201">
        <v>2</v>
      </c>
      <c r="V201" t="s">
        <v>45</v>
      </c>
    </row>
    <row r="202" spans="1:22" x14ac:dyDescent="0.35">
      <c r="A202" s="27">
        <v>44799.493055555555</v>
      </c>
      <c r="B202" s="25"/>
      <c r="K202" s="25">
        <v>284</v>
      </c>
      <c r="L202" s="11"/>
      <c r="T202">
        <v>6</v>
      </c>
      <c r="U202">
        <v>2</v>
      </c>
      <c r="V202" t="s">
        <v>79</v>
      </c>
    </row>
    <row r="203" spans="1:22" x14ac:dyDescent="0.35">
      <c r="A203" s="27">
        <v>44799.5</v>
      </c>
      <c r="B203" s="25"/>
      <c r="G203" t="str">
        <f t="shared" si="36"/>
        <v/>
      </c>
      <c r="I203" t="str">
        <f t="shared" si="34"/>
        <v/>
      </c>
      <c r="K203" s="25">
        <v>283</v>
      </c>
      <c r="L203" s="11">
        <f>1.0264*A203-45935</f>
        <v>47.20679999999993</v>
      </c>
      <c r="M203" t="str">
        <f t="shared" si="35"/>
        <v/>
      </c>
      <c r="T203">
        <v>6</v>
      </c>
      <c r="U203">
        <v>2</v>
      </c>
      <c r="V203" t="s">
        <v>46</v>
      </c>
    </row>
    <row r="204" spans="1:22" x14ac:dyDescent="0.35">
      <c r="A204" s="27">
        <v>44800.388888888891</v>
      </c>
      <c r="B204" s="25"/>
      <c r="K204" s="25">
        <v>283</v>
      </c>
      <c r="L204" s="11"/>
      <c r="T204">
        <v>6</v>
      </c>
      <c r="U204">
        <v>2</v>
      </c>
      <c r="V204" t="s">
        <v>80</v>
      </c>
    </row>
    <row r="205" spans="1:22" x14ac:dyDescent="0.35">
      <c r="A205" s="27">
        <v>44800.395833333336</v>
      </c>
      <c r="B205" s="25"/>
      <c r="G205" t="str">
        <f t="shared" si="36"/>
        <v/>
      </c>
      <c r="I205" t="str">
        <f t="shared" si="34"/>
        <v/>
      </c>
      <c r="K205" s="25">
        <v>282</v>
      </c>
      <c r="L205" s="11">
        <f>1.0264*A205-45935</f>
        <v>48.126283333338506</v>
      </c>
      <c r="M205" t="str">
        <f t="shared" si="35"/>
        <v/>
      </c>
      <c r="T205">
        <v>6</v>
      </c>
      <c r="U205">
        <v>2</v>
      </c>
      <c r="V205" t="s">
        <v>47</v>
      </c>
    </row>
    <row r="206" spans="1:22" x14ac:dyDescent="0.35">
      <c r="A206" s="27">
        <v>44800.402777777781</v>
      </c>
      <c r="B206" s="25"/>
      <c r="G206" t="str">
        <f t="shared" si="36"/>
        <v/>
      </c>
      <c r="I206" t="str">
        <f t="shared" si="34"/>
        <v/>
      </c>
      <c r="K206" s="25">
        <v>281</v>
      </c>
      <c r="L206" s="11">
        <f>1.0264*A206-45935</f>
        <v>48.133411111113674</v>
      </c>
      <c r="M206" t="str">
        <f t="shared" si="35"/>
        <v/>
      </c>
      <c r="T206">
        <v>6</v>
      </c>
      <c r="U206">
        <v>2</v>
      </c>
      <c r="V206" t="s">
        <v>81</v>
      </c>
    </row>
    <row r="207" spans="1:22" x14ac:dyDescent="0.35">
      <c r="A207" s="27">
        <v>44800.416666666664</v>
      </c>
      <c r="B207" s="25"/>
      <c r="G207" t="str">
        <f t="shared" si="36"/>
        <v/>
      </c>
      <c r="I207" t="str">
        <f t="shared" si="34"/>
        <v/>
      </c>
      <c r="K207" s="25">
        <v>284</v>
      </c>
      <c r="L207" s="11">
        <f>1.0264*A207-45935</f>
        <v>48.147666666664009</v>
      </c>
      <c r="M207" t="str">
        <f t="shared" si="35"/>
        <v/>
      </c>
      <c r="T207">
        <v>6</v>
      </c>
      <c r="U207">
        <v>2</v>
      </c>
      <c r="V207" t="s">
        <v>48</v>
      </c>
    </row>
    <row r="208" spans="1:22" x14ac:dyDescent="0.35">
      <c r="A208" s="27">
        <v>44801.493055555555</v>
      </c>
      <c r="B208" s="25"/>
      <c r="K208" s="25">
        <v>284</v>
      </c>
      <c r="L208" s="11"/>
      <c r="T208">
        <v>6</v>
      </c>
      <c r="U208">
        <v>2</v>
      </c>
      <c r="V208" t="s">
        <v>82</v>
      </c>
    </row>
    <row r="209" spans="1:22" x14ac:dyDescent="0.35">
      <c r="A209" s="27">
        <v>44801.5</v>
      </c>
      <c r="B209" s="25"/>
      <c r="G209" t="str">
        <f t="shared" si="36"/>
        <v/>
      </c>
      <c r="I209" t="str">
        <f t="shared" si="34"/>
        <v/>
      </c>
      <c r="K209" s="25">
        <v>282</v>
      </c>
      <c r="L209" s="11">
        <f t="shared" ref="L209:L214" si="37">1.0264*A209-45935</f>
        <v>49.25959999999759</v>
      </c>
      <c r="M209" t="str">
        <f t="shared" si="35"/>
        <v/>
      </c>
      <c r="Q209">
        <v>1.99</v>
      </c>
      <c r="T209">
        <v>6</v>
      </c>
      <c r="U209">
        <v>2</v>
      </c>
      <c r="V209" t="s">
        <v>49</v>
      </c>
    </row>
    <row r="210" spans="1:22" x14ac:dyDescent="0.35">
      <c r="A210" s="27">
        <v>44803.395833333336</v>
      </c>
      <c r="B210" s="25"/>
      <c r="G210" t="str">
        <f t="shared" si="36"/>
        <v/>
      </c>
      <c r="I210" t="str">
        <f t="shared" si="34"/>
        <v/>
      </c>
      <c r="K210" s="25">
        <v>282</v>
      </c>
      <c r="L210" s="11">
        <f t="shared" si="37"/>
        <v>51.205483333331358</v>
      </c>
      <c r="M210" t="str">
        <f t="shared" si="35"/>
        <v/>
      </c>
      <c r="T210">
        <v>6</v>
      </c>
      <c r="U210">
        <v>2</v>
      </c>
      <c r="V210" t="s">
        <v>39</v>
      </c>
    </row>
    <row r="211" spans="1:22" x14ac:dyDescent="0.35">
      <c r="A211" s="10">
        <v>44803.402777777781</v>
      </c>
      <c r="B211" s="25"/>
      <c r="C211" s="25"/>
      <c r="E211" s="29">
        <v>39</v>
      </c>
      <c r="F211" s="9">
        <f>+(E211-E199)/(A211-A199)</f>
        <v>-0.14271555996034033</v>
      </c>
      <c r="G211">
        <f t="shared" si="36"/>
        <v>11</v>
      </c>
      <c r="I211">
        <f t="shared" si="34"/>
        <v>23.267747360000001</v>
      </c>
      <c r="L211" s="11">
        <f t="shared" si="37"/>
        <v>51.212611111113802</v>
      </c>
      <c r="M211">
        <f t="shared" si="35"/>
        <v>23267.747360000001</v>
      </c>
      <c r="T211">
        <v>6</v>
      </c>
      <c r="U211">
        <v>2</v>
      </c>
    </row>
    <row r="212" spans="1:22" x14ac:dyDescent="0.35">
      <c r="A212" s="10">
        <v>44803.479166666664</v>
      </c>
      <c r="E212">
        <f>+F211*A212+F212</f>
        <v>38.989098116948298</v>
      </c>
      <c r="F212" s="15">
        <f>+E199-F211*A199</f>
        <v>6433.1427155592237</v>
      </c>
      <c r="G212">
        <f t="shared" si="36"/>
        <v>11.010901883051702</v>
      </c>
      <c r="I212">
        <f t="shared" si="34"/>
        <v>23.290807565508661</v>
      </c>
      <c r="L212" s="11">
        <f t="shared" si="37"/>
        <v>51.291016666662472</v>
      </c>
      <c r="M212">
        <f t="shared" si="35"/>
        <v>23290.807565508661</v>
      </c>
      <c r="T212">
        <v>6</v>
      </c>
      <c r="U212">
        <v>2</v>
      </c>
      <c r="V212" t="s">
        <v>29</v>
      </c>
    </row>
    <row r="213" spans="1:22" x14ac:dyDescent="0.35">
      <c r="A213" s="10">
        <v>44803.541666666664</v>
      </c>
      <c r="E213" s="29">
        <v>45</v>
      </c>
      <c r="G213">
        <f t="shared" si="36"/>
        <v>5</v>
      </c>
      <c r="I213">
        <f t="shared" si="34"/>
        <v>10.576248800000002</v>
      </c>
      <c r="L213" s="11">
        <f t="shared" si="37"/>
        <v>51.355166666660807</v>
      </c>
      <c r="M213">
        <f t="shared" si="35"/>
        <v>10576.248800000001</v>
      </c>
      <c r="T213">
        <v>6</v>
      </c>
      <c r="U213">
        <v>2</v>
      </c>
    </row>
    <row r="214" spans="1:22" x14ac:dyDescent="0.35">
      <c r="A214" s="10">
        <v>44811.416666666664</v>
      </c>
      <c r="E214" s="29">
        <v>40</v>
      </c>
      <c r="G214">
        <f t="shared" si="36"/>
        <v>10</v>
      </c>
      <c r="I214">
        <f t="shared" si="34"/>
        <v>21.152497600000004</v>
      </c>
      <c r="K214" s="29">
        <v>282</v>
      </c>
      <c r="L214" s="11">
        <f t="shared" si="37"/>
        <v>59.438066666662053</v>
      </c>
      <c r="M214">
        <f t="shared" si="35"/>
        <v>21152.497600000002</v>
      </c>
      <c r="T214">
        <v>6</v>
      </c>
      <c r="U214">
        <v>2</v>
      </c>
      <c r="V214" t="s">
        <v>54</v>
      </c>
    </row>
    <row r="215" spans="1:22" x14ac:dyDescent="0.35">
      <c r="A215" s="27">
        <v>44811.493055555555</v>
      </c>
      <c r="E215" s="29"/>
      <c r="K215" s="29">
        <v>282</v>
      </c>
      <c r="L215" s="11"/>
      <c r="T215">
        <v>6</v>
      </c>
      <c r="U215">
        <v>2</v>
      </c>
      <c r="V215" t="s">
        <v>79</v>
      </c>
    </row>
    <row r="216" spans="1:22" x14ac:dyDescent="0.35">
      <c r="A216" s="27">
        <v>44811.5</v>
      </c>
      <c r="E216" s="25"/>
      <c r="G216" t="str">
        <f t="shared" si="36"/>
        <v/>
      </c>
      <c r="I216" t="str">
        <f t="shared" si="34"/>
        <v/>
      </c>
      <c r="K216" s="25">
        <v>281</v>
      </c>
      <c r="L216" s="11">
        <f>1.0264*A216-45935</f>
        <v>59.523600000000442</v>
      </c>
      <c r="M216" t="str">
        <f t="shared" si="35"/>
        <v/>
      </c>
      <c r="T216">
        <v>6</v>
      </c>
      <c r="U216">
        <v>2</v>
      </c>
      <c r="V216" t="s">
        <v>50</v>
      </c>
    </row>
    <row r="217" spans="1:22" x14ac:dyDescent="0.35">
      <c r="A217" s="27">
        <v>44812.493055555555</v>
      </c>
      <c r="E217" s="25"/>
      <c r="K217" s="25">
        <v>281</v>
      </c>
      <c r="L217" s="11"/>
      <c r="T217">
        <v>6</v>
      </c>
      <c r="U217">
        <v>2</v>
      </c>
      <c r="V217" t="s">
        <v>83</v>
      </c>
    </row>
    <row r="218" spans="1:22" x14ac:dyDescent="0.35">
      <c r="A218" s="27">
        <v>44812.5</v>
      </c>
      <c r="E218" s="25"/>
      <c r="G218" t="str">
        <f t="shared" si="36"/>
        <v/>
      </c>
      <c r="I218" t="str">
        <f t="shared" si="34"/>
        <v/>
      </c>
      <c r="K218" s="25">
        <v>280</v>
      </c>
      <c r="L218" s="11">
        <f>1.0264*A218-45935</f>
        <v>60.549999999995634</v>
      </c>
      <c r="M218" t="str">
        <f t="shared" si="35"/>
        <v/>
      </c>
      <c r="Q218">
        <v>2.2999999999999998</v>
      </c>
      <c r="T218">
        <v>6</v>
      </c>
      <c r="U218">
        <v>2</v>
      </c>
      <c r="V218" t="s">
        <v>51</v>
      </c>
    </row>
    <row r="219" spans="1:22" x14ac:dyDescent="0.35">
      <c r="A219" s="27">
        <v>44812.520833333336</v>
      </c>
      <c r="E219" s="25"/>
      <c r="G219" t="str">
        <f t="shared" si="36"/>
        <v/>
      </c>
      <c r="I219" t="str">
        <f t="shared" si="34"/>
        <v/>
      </c>
      <c r="K219" s="25">
        <v>267</v>
      </c>
      <c r="L219" s="11">
        <f>1.0264*A219-45935</f>
        <v>60.571383333335689</v>
      </c>
      <c r="M219" t="str">
        <f t="shared" si="35"/>
        <v/>
      </c>
      <c r="T219">
        <v>6</v>
      </c>
      <c r="U219">
        <v>2</v>
      </c>
      <c r="V219" t="s">
        <v>52</v>
      </c>
    </row>
    <row r="220" spans="1:22" x14ac:dyDescent="0.35">
      <c r="A220" s="10">
        <v>44817.416666666664</v>
      </c>
      <c r="E220" s="29">
        <v>37</v>
      </c>
      <c r="G220">
        <f t="shared" si="36"/>
        <v>13</v>
      </c>
      <c r="I220">
        <f t="shared" si="34"/>
        <v>27.498246880000004</v>
      </c>
      <c r="K220" s="29">
        <v>267</v>
      </c>
      <c r="L220" s="11">
        <f>1.0264*A220-45935</f>
        <v>65.596466666662309</v>
      </c>
      <c r="M220">
        <f t="shared" si="35"/>
        <v>27498.246880000002</v>
      </c>
      <c r="Q220">
        <v>1.9</v>
      </c>
      <c r="T220">
        <v>6</v>
      </c>
      <c r="U220">
        <v>2</v>
      </c>
      <c r="V220" t="s">
        <v>55</v>
      </c>
    </row>
    <row r="221" spans="1:22" x14ac:dyDescent="0.35">
      <c r="A221" s="27">
        <v>44818.493055555555</v>
      </c>
      <c r="E221" s="29"/>
      <c r="K221" s="29">
        <v>267</v>
      </c>
      <c r="L221" s="11"/>
      <c r="T221">
        <v>6</v>
      </c>
      <c r="U221">
        <v>2</v>
      </c>
      <c r="V221" t="s">
        <v>83</v>
      </c>
    </row>
    <row r="222" spans="1:22" x14ac:dyDescent="0.35">
      <c r="A222" s="27">
        <v>44818.5</v>
      </c>
      <c r="E222" s="25"/>
      <c r="G222" t="str">
        <f t="shared" si="36"/>
        <v/>
      </c>
      <c r="I222" t="str">
        <f t="shared" si="34"/>
        <v/>
      </c>
      <c r="K222" s="25">
        <v>266</v>
      </c>
      <c r="L222" s="11">
        <f>1.0264*A222-45935</f>
        <v>66.708399999995891</v>
      </c>
      <c r="M222" t="str">
        <f t="shared" si="35"/>
        <v/>
      </c>
      <c r="T222">
        <v>6</v>
      </c>
      <c r="U222">
        <v>2</v>
      </c>
      <c r="V222" t="s">
        <v>154</v>
      </c>
    </row>
    <row r="223" spans="1:22" x14ac:dyDescent="0.35">
      <c r="A223" s="10">
        <v>44824.416666666664</v>
      </c>
      <c r="E223" s="29">
        <v>30</v>
      </c>
      <c r="G223">
        <f t="shared" si="36"/>
        <v>20</v>
      </c>
      <c r="I223">
        <f t="shared" si="34"/>
        <v>42.304995200000008</v>
      </c>
      <c r="K223" s="29">
        <v>266</v>
      </c>
      <c r="L223" s="11">
        <f>1.0264*A223-45935</f>
        <v>72.781266666665033</v>
      </c>
      <c r="M223">
        <f t="shared" si="35"/>
        <v>42304.995200000005</v>
      </c>
      <c r="Q223">
        <v>2.5499999999999998</v>
      </c>
      <c r="T223">
        <v>6</v>
      </c>
      <c r="U223">
        <v>2</v>
      </c>
      <c r="V223" t="s">
        <v>56</v>
      </c>
    </row>
    <row r="224" spans="1:22" x14ac:dyDescent="0.35">
      <c r="A224" s="10">
        <v>44831.430555555555</v>
      </c>
      <c r="E224" s="29"/>
      <c r="K224" s="29">
        <v>266</v>
      </c>
      <c r="L224" s="11"/>
      <c r="T224">
        <v>6</v>
      </c>
      <c r="U224">
        <v>2</v>
      </c>
      <c r="V224" t="s">
        <v>85</v>
      </c>
    </row>
    <row r="225" spans="1:22" x14ac:dyDescent="0.35">
      <c r="A225" s="10">
        <v>44831.4375</v>
      </c>
      <c r="E225" s="29">
        <v>26</v>
      </c>
      <c r="F225" s="9">
        <f>+(E225-E223)/(A225-A223)</f>
        <v>-0.56973293768526312</v>
      </c>
      <c r="G225">
        <f t="shared" si="36"/>
        <v>24</v>
      </c>
      <c r="I225">
        <f t="shared" si="34"/>
        <v>50.765994239999998</v>
      </c>
      <c r="K225" s="25">
        <v>265</v>
      </c>
      <c r="L225" s="11">
        <f>1.0264*A225-45935</f>
        <v>79.987450000000536</v>
      </c>
      <c r="M225">
        <f t="shared" si="35"/>
        <v>50765.99424</v>
      </c>
      <c r="Q225">
        <v>2.74</v>
      </c>
      <c r="T225">
        <v>6</v>
      </c>
      <c r="U225">
        <v>2</v>
      </c>
      <c r="V225" t="s">
        <v>84</v>
      </c>
    </row>
    <row r="226" spans="1:22" x14ac:dyDescent="0.35">
      <c r="A226" s="10">
        <v>44831.4375</v>
      </c>
      <c r="B226" s="29"/>
      <c r="C226" s="25"/>
      <c r="E226" s="29">
        <v>26</v>
      </c>
      <c r="F226" s="15">
        <f>+E223-F225*A223</f>
        <v>25567.946587528269</v>
      </c>
      <c r="G226">
        <f t="shared" si="36"/>
        <v>24</v>
      </c>
      <c r="I226">
        <f t="shared" si="34"/>
        <v>50.765994239999998</v>
      </c>
      <c r="L226" s="11">
        <f>1.0264*A226-45935</f>
        <v>79.987450000000536</v>
      </c>
      <c r="M226">
        <f t="shared" si="35"/>
        <v>50765.99424</v>
      </c>
      <c r="T226">
        <v>6</v>
      </c>
      <c r="U226">
        <v>2</v>
      </c>
    </row>
    <row r="227" spans="1:22" x14ac:dyDescent="0.35">
      <c r="A227" s="10">
        <v>44831.46875</v>
      </c>
      <c r="E227">
        <f>+F225*A227+F226</f>
        <v>25.982195845699607</v>
      </c>
      <c r="G227">
        <f t="shared" si="36"/>
        <v>24.017804154300393</v>
      </c>
      <c r="I227">
        <f t="shared" si="34"/>
        <v>50.80365447311091</v>
      </c>
      <c r="L227" s="11">
        <f>1.0264*A227-45935</f>
        <v>80.019524999996065</v>
      </c>
      <c r="M227">
        <f t="shared" si="35"/>
        <v>50803.65447311091</v>
      </c>
      <c r="Q227">
        <v>2.2000000000000002</v>
      </c>
      <c r="T227">
        <v>6</v>
      </c>
      <c r="U227">
        <v>2</v>
      </c>
      <c r="V227" t="s">
        <v>29</v>
      </c>
    </row>
    <row r="228" spans="1:22" x14ac:dyDescent="0.35">
      <c r="A228" s="10">
        <v>44831.541666666664</v>
      </c>
      <c r="E228" s="29">
        <v>45</v>
      </c>
      <c r="G228">
        <f t="shared" si="36"/>
        <v>5</v>
      </c>
      <c r="I228">
        <f t="shared" si="34"/>
        <v>10.576248800000002</v>
      </c>
      <c r="L228" s="11">
        <f>1.0264*A228-45935</f>
        <v>80.094366666664428</v>
      </c>
      <c r="M228">
        <f t="shared" si="35"/>
        <v>10576.248800000001</v>
      </c>
      <c r="T228">
        <v>6</v>
      </c>
      <c r="U228">
        <v>2</v>
      </c>
    </row>
    <row r="229" spans="1:22" x14ac:dyDescent="0.35">
      <c r="A229" s="10">
        <v>44845.333333333336</v>
      </c>
      <c r="E229" s="29"/>
      <c r="L229" s="11">
        <v>90</v>
      </c>
      <c r="Q229">
        <v>2.86</v>
      </c>
      <c r="T229">
        <v>6</v>
      </c>
      <c r="U229">
        <v>2</v>
      </c>
      <c r="V229" t="s">
        <v>86</v>
      </c>
    </row>
    <row r="230" spans="1:22" x14ac:dyDescent="0.35">
      <c r="A230" s="10">
        <v>44845.354166666664</v>
      </c>
      <c r="E230" s="29">
        <v>35</v>
      </c>
      <c r="F230" s="9">
        <f>+(E230-E228)/(A230-A228)</f>
        <v>-0.72398190045248867</v>
      </c>
      <c r="G230">
        <f t="shared" si="36"/>
        <v>15</v>
      </c>
      <c r="I230">
        <f t="shared" si="34"/>
        <v>31.728746399999999</v>
      </c>
      <c r="K230" s="28">
        <v>272</v>
      </c>
      <c r="L230" s="11">
        <f>1.0264*A230-45935</f>
        <v>94.271516666660318</v>
      </c>
      <c r="M230">
        <f t="shared" si="35"/>
        <v>31728.7464</v>
      </c>
      <c r="T230">
        <v>6</v>
      </c>
      <c r="U230">
        <v>2</v>
      </c>
      <c r="V230" t="s">
        <v>57</v>
      </c>
    </row>
    <row r="231" spans="1:22" x14ac:dyDescent="0.35">
      <c r="A231" s="10">
        <v>44845.354166666664</v>
      </c>
      <c r="B231" s="10"/>
      <c r="C231" s="29"/>
      <c r="D231" s="10"/>
      <c r="E231" s="29">
        <v>35</v>
      </c>
      <c r="F231" s="15">
        <f>+E228-F230*A228</f>
        <v>32502.224736048262</v>
      </c>
      <c r="G231">
        <f t="shared" si="36"/>
        <v>15</v>
      </c>
      <c r="I231">
        <f t="shared" si="34"/>
        <v>31.728746399999999</v>
      </c>
      <c r="L231" s="11">
        <f>1.0264*A231-45935</f>
        <v>94.271516666660318</v>
      </c>
      <c r="M231">
        <f t="shared" si="35"/>
        <v>31728.7464</v>
      </c>
      <c r="T231">
        <v>6</v>
      </c>
      <c r="U231">
        <v>2</v>
      </c>
    </row>
    <row r="232" spans="1:22" x14ac:dyDescent="0.35">
      <c r="A232" s="10">
        <v>44845.4375</v>
      </c>
      <c r="E232">
        <f>+F230*A232+F231</f>
        <v>34.939668174960389</v>
      </c>
      <c r="G232">
        <f t="shared" si="36"/>
        <v>15.060331825039611</v>
      </c>
      <c r="I232">
        <f t="shared" si="34"/>
        <v>31.856363278435399</v>
      </c>
      <c r="L232" s="11">
        <f>1.0264*A232-45935</f>
        <v>94.357049999998708</v>
      </c>
      <c r="M232">
        <f t="shared" si="35"/>
        <v>31856.363278435398</v>
      </c>
      <c r="T232">
        <v>6</v>
      </c>
      <c r="U232">
        <v>2</v>
      </c>
      <c r="V232" t="s">
        <v>29</v>
      </c>
    </row>
    <row r="233" spans="1:22" x14ac:dyDescent="0.35">
      <c r="A233" s="10">
        <v>44845.5</v>
      </c>
      <c r="E233" s="29">
        <v>47</v>
      </c>
      <c r="G233">
        <f t="shared" si="36"/>
        <v>3</v>
      </c>
      <c r="I233">
        <f t="shared" si="34"/>
        <v>6.3457492799999997</v>
      </c>
      <c r="L233" s="11">
        <f>1.0264*A233-45935</f>
        <v>94.421199999997043</v>
      </c>
      <c r="M233">
        <f t="shared" si="35"/>
        <v>6345.74928</v>
      </c>
      <c r="Q233">
        <v>2.4</v>
      </c>
      <c r="T233">
        <v>6</v>
      </c>
      <c r="U233">
        <v>2</v>
      </c>
    </row>
    <row r="234" spans="1:22" x14ac:dyDescent="0.35">
      <c r="A234" s="10">
        <v>44852.347222222219</v>
      </c>
      <c r="E234" s="29"/>
      <c r="K234">
        <v>272</v>
      </c>
      <c r="L234" s="11"/>
      <c r="M234" t="str">
        <f t="shared" si="35"/>
        <v/>
      </c>
      <c r="T234">
        <v>6</v>
      </c>
      <c r="U234">
        <v>2</v>
      </c>
      <c r="V234" t="s">
        <v>87</v>
      </c>
    </row>
    <row r="235" spans="1:22" x14ac:dyDescent="0.35">
      <c r="A235" s="10">
        <v>44852.354166666664</v>
      </c>
      <c r="E235" s="29">
        <v>39</v>
      </c>
      <c r="G235">
        <f t="shared" si="36"/>
        <v>11</v>
      </c>
      <c r="I235">
        <f t="shared" si="34"/>
        <v>23.267747360000001</v>
      </c>
      <c r="K235" s="28">
        <v>270</v>
      </c>
      <c r="L235" s="11">
        <f>1.0264*A235-45935</f>
        <v>101.45631666666304</v>
      </c>
      <c r="M235">
        <f t="shared" si="35"/>
        <v>23267.747360000001</v>
      </c>
      <c r="Q235">
        <v>2.91</v>
      </c>
      <c r="T235">
        <v>6</v>
      </c>
      <c r="U235">
        <v>2</v>
      </c>
      <c r="V235" t="s">
        <v>57</v>
      </c>
    </row>
    <row r="236" spans="1:22" x14ac:dyDescent="0.35">
      <c r="A236" s="32">
        <v>44852.5</v>
      </c>
      <c r="E236" s="25"/>
      <c r="G236" t="str">
        <f t="shared" si="36"/>
        <v/>
      </c>
      <c r="I236" t="str">
        <f t="shared" si="34"/>
        <v/>
      </c>
      <c r="K236" s="7">
        <v>270</v>
      </c>
      <c r="L236" s="11">
        <f>1.0264*A236-45935</f>
        <v>101.60599999999977</v>
      </c>
      <c r="M236" t="str">
        <f t="shared" si="35"/>
        <v/>
      </c>
      <c r="T236">
        <v>6</v>
      </c>
      <c r="U236">
        <v>2</v>
      </c>
      <c r="V236" t="s">
        <v>58</v>
      </c>
    </row>
    <row r="237" spans="1:22" x14ac:dyDescent="0.35">
      <c r="A237" s="27">
        <v>44858.493055555555</v>
      </c>
      <c r="E237" s="25"/>
      <c r="K237" s="7">
        <v>270</v>
      </c>
      <c r="L237" s="11"/>
      <c r="M237" t="str">
        <f t="shared" si="35"/>
        <v/>
      </c>
      <c r="T237">
        <v>6</v>
      </c>
      <c r="U237">
        <v>2</v>
      </c>
      <c r="V237" t="s">
        <v>79</v>
      </c>
    </row>
    <row r="238" spans="1:22" x14ac:dyDescent="0.35">
      <c r="A238" s="27">
        <v>44858.5</v>
      </c>
      <c r="E238" s="25"/>
      <c r="G238" t="str">
        <f t="shared" si="36"/>
        <v/>
      </c>
      <c r="I238" t="str">
        <f t="shared" si="34"/>
        <v/>
      </c>
      <c r="K238" s="25">
        <v>268</v>
      </c>
      <c r="L238" s="11">
        <f>1.0264*A238-45935</f>
        <v>107.76440000000002</v>
      </c>
      <c r="M238" t="str">
        <f t="shared" si="35"/>
        <v/>
      </c>
      <c r="T238">
        <v>6</v>
      </c>
      <c r="U238">
        <v>2</v>
      </c>
      <c r="V238" t="s">
        <v>88</v>
      </c>
    </row>
    <row r="239" spans="1:22" x14ac:dyDescent="0.35">
      <c r="A239" s="10">
        <v>44859.270833333336</v>
      </c>
      <c r="E239" s="25"/>
      <c r="K239" s="25">
        <v>268</v>
      </c>
      <c r="L239" s="11"/>
      <c r="M239" t="str">
        <f t="shared" si="35"/>
        <v/>
      </c>
      <c r="T239">
        <v>6</v>
      </c>
      <c r="U239">
        <v>2</v>
      </c>
      <c r="V239" t="s">
        <v>89</v>
      </c>
    </row>
    <row r="240" spans="1:22" x14ac:dyDescent="0.35">
      <c r="A240" s="10">
        <v>44859.354166666664</v>
      </c>
      <c r="E240" s="29">
        <v>37</v>
      </c>
      <c r="F240">
        <f>+(E240-E235)/(A240-A235)</f>
        <v>-0.2857142857142857</v>
      </c>
      <c r="G240">
        <f t="shared" si="36"/>
        <v>13</v>
      </c>
      <c r="I240">
        <f t="shared" si="34"/>
        <v>27.498246880000004</v>
      </c>
      <c r="K240" s="29">
        <v>62</v>
      </c>
      <c r="L240" s="11">
        <f>1.0264*A240-45935</f>
        <v>108.64111666666577</v>
      </c>
      <c r="M240">
        <f t="shared" si="35"/>
        <v>27498.246880000002</v>
      </c>
      <c r="Q240">
        <v>2.88</v>
      </c>
      <c r="T240">
        <v>6</v>
      </c>
      <c r="U240">
        <v>2</v>
      </c>
      <c r="V240" t="s">
        <v>90</v>
      </c>
    </row>
    <row r="241" spans="1:22" x14ac:dyDescent="0.35">
      <c r="A241" s="27">
        <v>44865.270833333336</v>
      </c>
      <c r="D241" s="11"/>
      <c r="E241" s="29">
        <f>+E240+(F241*(A241-A240))</f>
        <v>36.608919687277577</v>
      </c>
      <c r="F241">
        <f>+F240*(K241/K239)</f>
        <v>-6.6098081023454158E-2</v>
      </c>
      <c r="G241">
        <f t="shared" si="36"/>
        <v>13.391080312722423</v>
      </c>
      <c r="I241">
        <f>+IF(ISBLANK(E241),"",(G241/100)*$C$2)</f>
        <v>28.325479417626831</v>
      </c>
      <c r="K241" s="29">
        <v>62</v>
      </c>
      <c r="L241" s="11"/>
      <c r="M241">
        <f t="shared" si="35"/>
        <v>28325.47941762683</v>
      </c>
      <c r="T241">
        <v>6</v>
      </c>
      <c r="U241">
        <v>2</v>
      </c>
      <c r="V241" t="s">
        <v>91</v>
      </c>
    </row>
    <row r="242" spans="1:22" x14ac:dyDescent="0.35">
      <c r="A242" s="27">
        <v>44865.354166666664</v>
      </c>
      <c r="B242" s="25"/>
      <c r="G242" t="str">
        <f t="shared" si="36"/>
        <v/>
      </c>
      <c r="I242" t="str">
        <f t="shared" si="34"/>
        <v/>
      </c>
      <c r="K242" s="25">
        <v>0</v>
      </c>
      <c r="L242">
        <v>115</v>
      </c>
      <c r="M242" t="str">
        <f t="shared" si="35"/>
        <v/>
      </c>
      <c r="Q242">
        <v>2.83</v>
      </c>
      <c r="T242">
        <v>6</v>
      </c>
      <c r="U242">
        <v>2</v>
      </c>
      <c r="V242" t="s">
        <v>59</v>
      </c>
    </row>
    <row r="243" spans="1:22" x14ac:dyDescent="0.35">
      <c r="A243" s="20"/>
      <c r="G243" t="str">
        <f t="shared" si="36"/>
        <v/>
      </c>
      <c r="I243" t="str">
        <f t="shared" si="34"/>
        <v/>
      </c>
      <c r="M243" t="str">
        <f t="shared" si="35"/>
        <v/>
      </c>
      <c r="R243">
        <v>211146.4</v>
      </c>
    </row>
    <row r="244" spans="1:22" x14ac:dyDescent="0.35">
      <c r="A244" s="27">
        <v>44872.458333333336</v>
      </c>
      <c r="B244" s="25"/>
      <c r="C244" s="25"/>
      <c r="E244" s="25">
        <v>37</v>
      </c>
      <c r="G244">
        <f>IF(ISBLANK(E244),"",+$B$2-E244)</f>
        <v>13</v>
      </c>
      <c r="I244">
        <f>+IF(ISBLANK(E244),"",(G244/100)*$C$2)</f>
        <v>27.498246880000004</v>
      </c>
      <c r="K244">
        <v>0</v>
      </c>
      <c r="M244">
        <f t="shared" si="35"/>
        <v>27498.246880000002</v>
      </c>
      <c r="T244">
        <v>6</v>
      </c>
      <c r="U244">
        <v>3</v>
      </c>
      <c r="V244" t="s">
        <v>98</v>
      </c>
    </row>
    <row r="245" spans="1:22" x14ac:dyDescent="0.35">
      <c r="A245" s="27">
        <v>44872.541666666664</v>
      </c>
      <c r="G245" t="str">
        <f>IF(ISBLANK(E245),"",+$B$2-E245)</f>
        <v/>
      </c>
      <c r="I245" t="str">
        <f t="shared" ref="I245:I267" si="38">+IF(ISBLANK(E245),"",(G245/100)*$C$2)</f>
        <v/>
      </c>
      <c r="K245" s="25">
        <v>223</v>
      </c>
      <c r="L245" s="1">
        <v>30</v>
      </c>
      <c r="M245" t="str">
        <f t="shared" si="35"/>
        <v/>
      </c>
      <c r="Q245">
        <v>1.23</v>
      </c>
      <c r="T245">
        <v>6</v>
      </c>
      <c r="U245">
        <v>3</v>
      </c>
    </row>
    <row r="246" spans="1:22" x14ac:dyDescent="0.35">
      <c r="A246" s="10">
        <v>44873.375</v>
      </c>
      <c r="E246" s="29">
        <v>37</v>
      </c>
      <c r="G246">
        <f>IF(ISBLANK(E246),"",+$B$2-E246)</f>
        <v>13</v>
      </c>
      <c r="I246">
        <f t="shared" si="38"/>
        <v>27.498246880000004</v>
      </c>
      <c r="K246" s="29">
        <v>223</v>
      </c>
      <c r="L246" s="11"/>
      <c r="M246">
        <f t="shared" si="35"/>
        <v>27498.246880000002</v>
      </c>
      <c r="T246">
        <v>6</v>
      </c>
      <c r="U246">
        <v>3</v>
      </c>
      <c r="V246" t="s">
        <v>83</v>
      </c>
    </row>
    <row r="247" spans="1:22" x14ac:dyDescent="0.35">
      <c r="A247" s="10">
        <v>44880.5</v>
      </c>
      <c r="E247" s="29">
        <v>37</v>
      </c>
      <c r="G247">
        <f t="shared" ref="G247:G267" si="39">IF(ISBLANK(E247),"",+$B$2-E247)</f>
        <v>13</v>
      </c>
      <c r="I247">
        <f t="shared" si="38"/>
        <v>27.498246880000004</v>
      </c>
      <c r="K247" s="29">
        <v>223</v>
      </c>
      <c r="L247" s="11"/>
      <c r="M247">
        <f t="shared" si="35"/>
        <v>27498.246880000002</v>
      </c>
      <c r="T247">
        <v>6</v>
      </c>
      <c r="U247">
        <v>3</v>
      </c>
      <c r="V247" t="s">
        <v>99</v>
      </c>
    </row>
    <row r="248" spans="1:22" x14ac:dyDescent="0.35">
      <c r="A248" s="27">
        <v>44882.458333333336</v>
      </c>
      <c r="B248" s="25"/>
      <c r="E248" s="29"/>
      <c r="G248" t="str">
        <f t="shared" si="39"/>
        <v/>
      </c>
      <c r="I248" t="str">
        <f t="shared" si="38"/>
        <v/>
      </c>
      <c r="K248" s="29">
        <v>223</v>
      </c>
      <c r="L248" s="11"/>
      <c r="M248" t="str">
        <f t="shared" si="35"/>
        <v/>
      </c>
      <c r="T248">
        <v>6</v>
      </c>
      <c r="U248">
        <v>3</v>
      </c>
      <c r="V248" t="s">
        <v>100</v>
      </c>
    </row>
    <row r="249" spans="1:22" x14ac:dyDescent="0.35">
      <c r="A249" s="27">
        <v>44882.541666666664</v>
      </c>
      <c r="E249" s="29"/>
      <c r="G249" t="str">
        <f t="shared" si="39"/>
        <v/>
      </c>
      <c r="I249" t="str">
        <f t="shared" si="38"/>
        <v/>
      </c>
      <c r="K249" s="25">
        <v>304</v>
      </c>
      <c r="L249" s="11"/>
      <c r="M249" t="str">
        <f t="shared" si="35"/>
        <v/>
      </c>
      <c r="T249">
        <v>6</v>
      </c>
      <c r="U249">
        <v>3</v>
      </c>
      <c r="V249" t="s">
        <v>101</v>
      </c>
    </row>
    <row r="250" spans="1:22" x14ac:dyDescent="0.35">
      <c r="A250" s="27">
        <v>44882.548611111109</v>
      </c>
      <c r="B250" s="25"/>
      <c r="E250" s="29"/>
      <c r="G250" t="str">
        <f t="shared" si="39"/>
        <v/>
      </c>
      <c r="I250" t="str">
        <f t="shared" si="38"/>
        <v/>
      </c>
      <c r="K250" s="25">
        <v>302</v>
      </c>
      <c r="L250" s="11"/>
      <c r="M250" t="str">
        <f t="shared" si="35"/>
        <v/>
      </c>
      <c r="T250">
        <v>6</v>
      </c>
      <c r="U250">
        <v>3</v>
      </c>
      <c r="V250" t="s">
        <v>102</v>
      </c>
    </row>
    <row r="251" spans="1:22" x14ac:dyDescent="0.35">
      <c r="A251" s="27">
        <v>44884.493055555555</v>
      </c>
      <c r="B251" s="25"/>
      <c r="E251" s="29"/>
      <c r="G251" t="str">
        <f t="shared" si="39"/>
        <v/>
      </c>
      <c r="I251" t="str">
        <f t="shared" si="38"/>
        <v/>
      </c>
      <c r="K251" s="25">
        <v>302</v>
      </c>
      <c r="L251" s="11"/>
      <c r="M251" t="str">
        <f t="shared" si="35"/>
        <v/>
      </c>
      <c r="T251">
        <v>6</v>
      </c>
      <c r="U251">
        <v>3</v>
      </c>
      <c r="V251" t="s">
        <v>104</v>
      </c>
    </row>
    <row r="252" spans="1:22" x14ac:dyDescent="0.35">
      <c r="A252" s="27">
        <v>44884.5</v>
      </c>
      <c r="B252" s="25"/>
      <c r="C252" s="25"/>
      <c r="E252" s="29"/>
      <c r="G252" t="str">
        <f t="shared" si="39"/>
        <v/>
      </c>
      <c r="I252" t="str">
        <f t="shared" si="38"/>
        <v/>
      </c>
      <c r="K252" s="25">
        <v>299</v>
      </c>
      <c r="L252" s="11"/>
      <c r="M252" t="str">
        <f t="shared" si="35"/>
        <v/>
      </c>
      <c r="T252">
        <v>6</v>
      </c>
      <c r="U252">
        <v>3</v>
      </c>
      <c r="V252" t="s">
        <v>103</v>
      </c>
    </row>
    <row r="253" spans="1:22" x14ac:dyDescent="0.35">
      <c r="A253" s="10">
        <v>44887.291666666664</v>
      </c>
      <c r="E253" s="29">
        <v>34</v>
      </c>
      <c r="G253">
        <f t="shared" si="39"/>
        <v>16</v>
      </c>
      <c r="I253">
        <f t="shared" si="38"/>
        <v>33.843996160000003</v>
      </c>
      <c r="K253" s="29">
        <v>299</v>
      </c>
      <c r="L253" s="11"/>
      <c r="M253">
        <f t="shared" si="35"/>
        <v>33843.996160000002</v>
      </c>
      <c r="T253">
        <v>6</v>
      </c>
      <c r="U253">
        <v>3</v>
      </c>
      <c r="V253" t="s">
        <v>105</v>
      </c>
    </row>
    <row r="254" spans="1:22" x14ac:dyDescent="0.35">
      <c r="A254" s="27">
        <v>44890.493055555555</v>
      </c>
      <c r="B254" s="25"/>
      <c r="E254" s="29"/>
      <c r="G254" t="str">
        <f t="shared" si="39"/>
        <v/>
      </c>
      <c r="I254" t="str">
        <f t="shared" si="38"/>
        <v/>
      </c>
      <c r="K254" s="29">
        <v>299</v>
      </c>
      <c r="L254" s="11"/>
      <c r="M254" t="str">
        <f t="shared" si="35"/>
        <v/>
      </c>
      <c r="T254">
        <v>6</v>
      </c>
      <c r="U254">
        <v>3</v>
      </c>
      <c r="V254" t="s">
        <v>107</v>
      </c>
    </row>
    <row r="255" spans="1:22" x14ac:dyDescent="0.35">
      <c r="A255" s="27">
        <v>44890.5</v>
      </c>
      <c r="E255" s="29"/>
      <c r="G255" t="str">
        <f t="shared" si="39"/>
        <v/>
      </c>
      <c r="I255" t="str">
        <f t="shared" si="38"/>
        <v/>
      </c>
      <c r="K255" s="25">
        <v>298</v>
      </c>
      <c r="L255" s="11"/>
      <c r="M255" t="str">
        <f t="shared" si="35"/>
        <v/>
      </c>
      <c r="T255">
        <v>6</v>
      </c>
      <c r="U255">
        <v>3</v>
      </c>
      <c r="V255" t="s">
        <v>106</v>
      </c>
    </row>
    <row r="256" spans="1:22" x14ac:dyDescent="0.35">
      <c r="A256" s="27">
        <v>44892.493055555555</v>
      </c>
      <c r="E256" s="29"/>
      <c r="G256" t="str">
        <f t="shared" si="39"/>
        <v/>
      </c>
      <c r="I256" t="str">
        <f t="shared" si="38"/>
        <v/>
      </c>
      <c r="K256" s="25">
        <v>298</v>
      </c>
      <c r="L256" s="11"/>
      <c r="M256" t="str">
        <f t="shared" si="35"/>
        <v/>
      </c>
      <c r="T256">
        <v>6</v>
      </c>
      <c r="U256">
        <v>3</v>
      </c>
      <c r="V256" t="s">
        <v>107</v>
      </c>
    </row>
    <row r="257" spans="1:22" x14ac:dyDescent="0.35">
      <c r="A257" s="27">
        <v>44892.5</v>
      </c>
      <c r="B257" s="25"/>
      <c r="E257" s="29"/>
      <c r="G257" t="str">
        <f t="shared" si="39"/>
        <v/>
      </c>
      <c r="I257" t="str">
        <f t="shared" si="38"/>
        <v/>
      </c>
      <c r="K257" s="25">
        <v>294</v>
      </c>
      <c r="L257" s="11"/>
      <c r="M257" t="str">
        <f t="shared" si="35"/>
        <v/>
      </c>
      <c r="T257">
        <v>6</v>
      </c>
      <c r="U257">
        <v>3</v>
      </c>
      <c r="V257" t="s">
        <v>108</v>
      </c>
    </row>
    <row r="258" spans="1:22" x14ac:dyDescent="0.35">
      <c r="A258" s="10">
        <v>44894.40625</v>
      </c>
      <c r="D258" s="29"/>
      <c r="E258" s="29">
        <v>31</v>
      </c>
      <c r="F258" s="9">
        <f>+(E258-E253)/(A258-A253)</f>
        <v>-0.4216691068812618</v>
      </c>
      <c r="G258">
        <f t="shared" si="39"/>
        <v>19</v>
      </c>
      <c r="I258">
        <f t="shared" si="38"/>
        <v>40.189745440000003</v>
      </c>
      <c r="K258" s="29">
        <v>294</v>
      </c>
      <c r="L258" s="11"/>
      <c r="M258">
        <f t="shared" si="35"/>
        <v>40189.745440000006</v>
      </c>
      <c r="T258">
        <v>6</v>
      </c>
      <c r="U258">
        <v>3</v>
      </c>
      <c r="V258" t="s">
        <v>109</v>
      </c>
    </row>
    <row r="259" spans="1:22" x14ac:dyDescent="0.35">
      <c r="A259" s="10">
        <v>44894.447916666664</v>
      </c>
      <c r="E259" s="14">
        <f>+F258*A259+F259</f>
        <v>30.982430453881534</v>
      </c>
      <c r="F259" s="15">
        <f>+E253-F258*A253</f>
        <v>18961.584187402037</v>
      </c>
      <c r="G259">
        <f t="shared" si="39"/>
        <v>19.017569546118466</v>
      </c>
      <c r="I259">
        <f t="shared" si="38"/>
        <v>40.226909418210397</v>
      </c>
      <c r="K259" s="29">
        <v>294</v>
      </c>
      <c r="L259" s="11"/>
      <c r="M259">
        <f t="shared" si="35"/>
        <v>40226.909418210395</v>
      </c>
      <c r="T259">
        <v>6</v>
      </c>
      <c r="U259">
        <v>3</v>
      </c>
    </row>
    <row r="260" spans="1:22" x14ac:dyDescent="0.35">
      <c r="A260" s="10">
        <v>44894.454861111109</v>
      </c>
      <c r="E260" s="29">
        <v>45</v>
      </c>
      <c r="G260">
        <f t="shared" si="39"/>
        <v>5</v>
      </c>
      <c r="I260">
        <f t="shared" si="38"/>
        <v>10.576248800000002</v>
      </c>
      <c r="K260" s="29"/>
      <c r="L260" s="11"/>
      <c r="M260">
        <f t="shared" si="35"/>
        <v>10576.248800000001</v>
      </c>
      <c r="T260">
        <v>6</v>
      </c>
      <c r="U260">
        <v>3</v>
      </c>
    </row>
    <row r="261" spans="1:22" x14ac:dyDescent="0.35">
      <c r="A261" s="10">
        <v>44901.493055555555</v>
      </c>
      <c r="E261" s="29">
        <v>39</v>
      </c>
      <c r="G261">
        <f t="shared" si="39"/>
        <v>11</v>
      </c>
      <c r="I261">
        <f t="shared" si="38"/>
        <v>23.267747360000001</v>
      </c>
      <c r="K261" s="29">
        <v>294</v>
      </c>
      <c r="L261" s="11"/>
      <c r="M261">
        <f t="shared" si="35"/>
        <v>23267.747360000001</v>
      </c>
      <c r="T261">
        <v>6</v>
      </c>
      <c r="U261">
        <v>3</v>
      </c>
      <c r="V261" t="s">
        <v>111</v>
      </c>
    </row>
    <row r="262" spans="1:22" x14ac:dyDescent="0.35">
      <c r="A262" s="27">
        <v>44903.493055555555</v>
      </c>
      <c r="E262" s="29"/>
      <c r="G262" t="str">
        <f t="shared" si="39"/>
        <v/>
      </c>
      <c r="I262" t="str">
        <f t="shared" si="38"/>
        <v/>
      </c>
      <c r="K262" s="29">
        <v>294</v>
      </c>
      <c r="L262" s="11"/>
      <c r="M262" t="str">
        <f t="shared" si="35"/>
        <v/>
      </c>
      <c r="T262">
        <v>6</v>
      </c>
      <c r="U262">
        <v>3</v>
      </c>
      <c r="V262" t="s">
        <v>112</v>
      </c>
    </row>
    <row r="263" spans="1:22" x14ac:dyDescent="0.35">
      <c r="A263" s="27">
        <v>44903.5</v>
      </c>
      <c r="B263" s="25"/>
      <c r="G263" t="str">
        <f t="shared" si="39"/>
        <v/>
      </c>
      <c r="I263" t="str">
        <f t="shared" si="38"/>
        <v/>
      </c>
      <c r="K263" s="25">
        <v>293</v>
      </c>
      <c r="L263" s="11"/>
      <c r="M263" t="str">
        <f t="shared" si="35"/>
        <v/>
      </c>
      <c r="T263">
        <v>6</v>
      </c>
      <c r="U263">
        <v>3</v>
      </c>
      <c r="V263" t="s">
        <v>110</v>
      </c>
    </row>
    <row r="264" spans="1:22" x14ac:dyDescent="0.35">
      <c r="A264" s="10">
        <v>44908.479166666664</v>
      </c>
      <c r="E264" s="29">
        <v>33</v>
      </c>
      <c r="G264">
        <f t="shared" si="39"/>
        <v>17</v>
      </c>
      <c r="I264">
        <f t="shared" si="38"/>
        <v>35.959245920000001</v>
      </c>
      <c r="K264" s="25">
        <v>293</v>
      </c>
      <c r="L264" s="11"/>
      <c r="M264">
        <f t="shared" si="35"/>
        <v>35959.245920000001</v>
      </c>
      <c r="T264">
        <v>6</v>
      </c>
      <c r="U264">
        <v>3</v>
      </c>
      <c r="V264" t="s">
        <v>114</v>
      </c>
    </row>
    <row r="265" spans="1:22" x14ac:dyDescent="0.35">
      <c r="A265" s="10">
        <v>44908.5</v>
      </c>
      <c r="B265" s="25"/>
      <c r="G265" t="str">
        <f t="shared" si="39"/>
        <v/>
      </c>
      <c r="I265" t="str">
        <f t="shared" si="38"/>
        <v/>
      </c>
      <c r="K265" s="28">
        <v>272</v>
      </c>
      <c r="L265" s="11"/>
      <c r="M265" t="str">
        <f t="shared" si="35"/>
        <v/>
      </c>
      <c r="T265">
        <v>6</v>
      </c>
      <c r="U265">
        <v>3</v>
      </c>
      <c r="V265" t="s">
        <v>113</v>
      </c>
    </row>
    <row r="266" spans="1:22" x14ac:dyDescent="0.35">
      <c r="A266" s="10">
        <v>44915.375</v>
      </c>
      <c r="E266" s="29">
        <v>28</v>
      </c>
      <c r="G266">
        <f t="shared" si="39"/>
        <v>22</v>
      </c>
      <c r="I266">
        <f t="shared" si="38"/>
        <v>46.535494720000003</v>
      </c>
      <c r="K266" s="29">
        <v>272</v>
      </c>
      <c r="L266" s="11"/>
      <c r="M266">
        <f t="shared" si="35"/>
        <v>46535.494720000002</v>
      </c>
      <c r="T266">
        <v>6</v>
      </c>
      <c r="U266">
        <v>3</v>
      </c>
      <c r="V266" t="s">
        <v>115</v>
      </c>
    </row>
    <row r="267" spans="1:22" x14ac:dyDescent="0.35">
      <c r="A267" s="10">
        <v>44922.291666666664</v>
      </c>
      <c r="E267" s="29">
        <v>23</v>
      </c>
      <c r="F267" s="9">
        <f>+(E267-E266)/(A267-A266)</f>
        <v>-0.7228915662653137</v>
      </c>
      <c r="G267">
        <f t="shared" si="39"/>
        <v>27</v>
      </c>
      <c r="I267">
        <f t="shared" si="38"/>
        <v>57.111743520000005</v>
      </c>
      <c r="K267">
        <v>272</v>
      </c>
      <c r="L267" s="11"/>
      <c r="M267">
        <f t="shared" si="35"/>
        <v>57111.743520000004</v>
      </c>
      <c r="T267">
        <v>6</v>
      </c>
      <c r="U267">
        <v>3</v>
      </c>
      <c r="V267" t="s">
        <v>116</v>
      </c>
    </row>
    <row r="268" spans="1:22" x14ac:dyDescent="0.35">
      <c r="A268" s="10">
        <v>44922.375</v>
      </c>
      <c r="E268">
        <f>+F267*A268+F268</f>
        <v>22.939759036144096</v>
      </c>
      <c r="F268" s="15">
        <f>+E266-F267*A266</f>
        <v>32496.945783143914</v>
      </c>
      <c r="G268">
        <f t="shared" si="36"/>
        <v>27.060240963855904</v>
      </c>
      <c r="I268">
        <f t="shared" si="34"/>
        <v>57.23916820433837</v>
      </c>
      <c r="K268" s="29">
        <v>272</v>
      </c>
      <c r="L268" s="11"/>
      <c r="M268">
        <f t="shared" si="35"/>
        <v>57239.16820433837</v>
      </c>
      <c r="T268">
        <v>6</v>
      </c>
      <c r="U268">
        <v>3</v>
      </c>
      <c r="V268" t="s">
        <v>117</v>
      </c>
    </row>
    <row r="269" spans="1:22" x14ac:dyDescent="0.35">
      <c r="A269" s="10">
        <v>44922.427083333336</v>
      </c>
      <c r="E269" s="29">
        <v>35</v>
      </c>
      <c r="G269">
        <f t="shared" si="36"/>
        <v>15</v>
      </c>
      <c r="I269">
        <f t="shared" si="34"/>
        <v>31.728746399999999</v>
      </c>
      <c r="L269" s="11"/>
      <c r="M269">
        <f t="shared" si="35"/>
        <v>31728.7464</v>
      </c>
      <c r="T269">
        <v>6</v>
      </c>
      <c r="U269">
        <v>3</v>
      </c>
    </row>
    <row r="270" spans="1:22" x14ac:dyDescent="0.35">
      <c r="A270" s="27">
        <v>44927.493055555555</v>
      </c>
      <c r="E270" s="29"/>
      <c r="G270" t="str">
        <f t="shared" si="36"/>
        <v/>
      </c>
      <c r="I270" t="str">
        <f t="shared" si="34"/>
        <v/>
      </c>
      <c r="K270">
        <v>272</v>
      </c>
      <c r="L270" s="11"/>
      <c r="M270" t="str">
        <f t="shared" si="35"/>
        <v/>
      </c>
      <c r="T270">
        <v>6</v>
      </c>
      <c r="U270">
        <v>3</v>
      </c>
      <c r="V270" t="s">
        <v>83</v>
      </c>
    </row>
    <row r="271" spans="1:22" x14ac:dyDescent="0.35">
      <c r="A271" s="27">
        <v>44927.5</v>
      </c>
      <c r="B271" s="25"/>
      <c r="G271" t="str">
        <f t="shared" si="36"/>
        <v/>
      </c>
      <c r="I271" t="str">
        <f t="shared" si="34"/>
        <v/>
      </c>
      <c r="K271" s="25">
        <v>271</v>
      </c>
      <c r="L271" s="11"/>
      <c r="M271" t="str">
        <f t="shared" si="35"/>
        <v/>
      </c>
      <c r="T271">
        <v>6</v>
      </c>
      <c r="U271">
        <v>3</v>
      </c>
      <c r="V271" t="s">
        <v>106</v>
      </c>
    </row>
    <row r="272" spans="1:22" x14ac:dyDescent="0.35">
      <c r="A272" s="10">
        <v>44929.354166666664</v>
      </c>
      <c r="E272" s="29">
        <v>30</v>
      </c>
      <c r="G272">
        <f t="shared" si="36"/>
        <v>20</v>
      </c>
      <c r="I272">
        <f t="shared" si="34"/>
        <v>42.304995200000008</v>
      </c>
      <c r="K272" s="29">
        <v>271</v>
      </c>
      <c r="L272" s="11"/>
      <c r="M272">
        <f t="shared" si="35"/>
        <v>42304.995200000005</v>
      </c>
      <c r="T272">
        <v>6</v>
      </c>
      <c r="U272">
        <v>3</v>
      </c>
      <c r="V272" t="s">
        <v>105</v>
      </c>
    </row>
    <row r="273" spans="1:22" x14ac:dyDescent="0.35">
      <c r="A273" s="27">
        <v>44931.493055555555</v>
      </c>
      <c r="B273" s="25"/>
      <c r="E273" s="29"/>
      <c r="G273" t="str">
        <f t="shared" si="36"/>
        <v/>
      </c>
      <c r="I273" t="str">
        <f t="shared" si="34"/>
        <v/>
      </c>
      <c r="K273" s="30">
        <v>271</v>
      </c>
      <c r="L273" s="11"/>
      <c r="M273" t="str">
        <f t="shared" si="35"/>
        <v/>
      </c>
      <c r="T273">
        <v>6</v>
      </c>
      <c r="U273">
        <v>3</v>
      </c>
      <c r="V273" t="s">
        <v>83</v>
      </c>
    </row>
    <row r="274" spans="1:22" x14ac:dyDescent="0.35">
      <c r="A274" s="27">
        <v>44931.5</v>
      </c>
      <c r="B274" s="25"/>
      <c r="C274" s="25"/>
      <c r="E274" s="29"/>
      <c r="K274" s="25">
        <v>270</v>
      </c>
      <c r="L274" s="11"/>
      <c r="T274">
        <v>6</v>
      </c>
      <c r="U274">
        <v>3</v>
      </c>
      <c r="V274" t="s">
        <v>106</v>
      </c>
    </row>
    <row r="275" spans="1:22" x14ac:dyDescent="0.35">
      <c r="A275" s="10">
        <v>44935.6875</v>
      </c>
      <c r="D275" s="2"/>
      <c r="E275" s="29">
        <v>24</v>
      </c>
      <c r="G275">
        <f t="shared" ref="G275:G283" si="40">IF(ISBLANK(E275),"",+$B$2-E275)</f>
        <v>26</v>
      </c>
      <c r="I275">
        <f t="shared" ref="I275:I283" si="41">+IF(ISBLANK(E275),"",(G275/100)*$C$2)</f>
        <v>54.996493760000007</v>
      </c>
      <c r="K275" s="29">
        <v>270</v>
      </c>
      <c r="L275" s="11"/>
      <c r="M275">
        <f t="shared" ref="M275:M283" si="42">IF(ISBLANK(E275),"",+I275*$H$2)</f>
        <v>54996.493760000005</v>
      </c>
      <c r="T275">
        <v>6</v>
      </c>
      <c r="U275">
        <v>3</v>
      </c>
    </row>
    <row r="276" spans="1:22" x14ac:dyDescent="0.35">
      <c r="A276" s="10">
        <v>44935.697916666664</v>
      </c>
      <c r="D276" s="2"/>
      <c r="E276" s="29">
        <v>45</v>
      </c>
      <c r="G276">
        <f t="shared" si="40"/>
        <v>5</v>
      </c>
      <c r="I276">
        <f t="shared" si="41"/>
        <v>10.576248800000002</v>
      </c>
      <c r="K276" s="29"/>
      <c r="L276" s="11"/>
      <c r="M276">
        <f t="shared" si="42"/>
        <v>10576.248800000001</v>
      </c>
      <c r="T276">
        <v>6</v>
      </c>
      <c r="U276">
        <v>3</v>
      </c>
    </row>
    <row r="277" spans="1:22" x14ac:dyDescent="0.35">
      <c r="A277" s="10">
        <v>44943.420138888891</v>
      </c>
      <c r="E277" s="29">
        <v>37</v>
      </c>
      <c r="G277">
        <f t="shared" si="40"/>
        <v>13</v>
      </c>
      <c r="I277">
        <f t="shared" si="41"/>
        <v>27.498246880000004</v>
      </c>
      <c r="K277" s="29">
        <v>270</v>
      </c>
      <c r="L277" s="11"/>
      <c r="M277">
        <f t="shared" si="42"/>
        <v>27498.246880000002</v>
      </c>
      <c r="T277">
        <v>6</v>
      </c>
      <c r="U277">
        <v>3</v>
      </c>
      <c r="V277" t="s">
        <v>118</v>
      </c>
    </row>
    <row r="278" spans="1:22" x14ac:dyDescent="0.35">
      <c r="A278" s="27">
        <v>44951.493055555555</v>
      </c>
      <c r="B278" s="25"/>
      <c r="E278" s="25"/>
      <c r="G278" t="str">
        <f t="shared" si="40"/>
        <v/>
      </c>
      <c r="I278" t="str">
        <f t="shared" si="41"/>
        <v/>
      </c>
      <c r="K278" s="30">
        <v>270</v>
      </c>
      <c r="L278" s="11"/>
      <c r="M278" t="str">
        <f t="shared" si="42"/>
        <v/>
      </c>
      <c r="T278">
        <v>6</v>
      </c>
      <c r="U278">
        <v>3</v>
      </c>
      <c r="V278" t="s">
        <v>83</v>
      </c>
    </row>
    <row r="279" spans="1:22" x14ac:dyDescent="0.35">
      <c r="A279" s="27">
        <v>44951.5</v>
      </c>
      <c r="B279" s="25"/>
      <c r="C279" s="25"/>
      <c r="E279" s="29"/>
      <c r="F279" s="9"/>
      <c r="G279" t="str">
        <f t="shared" si="40"/>
        <v/>
      </c>
      <c r="I279" t="str">
        <f t="shared" si="41"/>
        <v/>
      </c>
      <c r="K279" s="25">
        <v>269</v>
      </c>
      <c r="L279" s="11"/>
      <c r="M279" t="str">
        <f t="shared" si="42"/>
        <v/>
      </c>
      <c r="T279">
        <v>6</v>
      </c>
      <c r="U279">
        <v>3</v>
      </c>
      <c r="V279" t="s">
        <v>106</v>
      </c>
    </row>
    <row r="280" spans="1:22" x14ac:dyDescent="0.35">
      <c r="A280" s="10">
        <v>44957.520833333336</v>
      </c>
      <c r="E280" s="29">
        <v>25</v>
      </c>
      <c r="F280" s="15"/>
      <c r="G280">
        <f t="shared" si="40"/>
        <v>25</v>
      </c>
      <c r="I280">
        <f t="shared" si="41"/>
        <v>52.881244000000002</v>
      </c>
      <c r="K280" s="29">
        <v>269</v>
      </c>
      <c r="L280" s="11"/>
      <c r="M280">
        <f t="shared" si="42"/>
        <v>52881.243999999999</v>
      </c>
      <c r="T280">
        <v>6</v>
      </c>
      <c r="U280">
        <v>3</v>
      </c>
      <c r="V280" t="s">
        <v>118</v>
      </c>
    </row>
    <row r="281" spans="1:22" x14ac:dyDescent="0.35">
      <c r="A281" s="10">
        <v>44963.590277777781</v>
      </c>
      <c r="E281" s="29">
        <v>42</v>
      </c>
      <c r="F281" s="15"/>
      <c r="G281">
        <f t="shared" si="40"/>
        <v>8</v>
      </c>
      <c r="I281">
        <f t="shared" si="41"/>
        <v>16.921998080000002</v>
      </c>
      <c r="K281" s="29">
        <v>269</v>
      </c>
      <c r="L281" s="11"/>
      <c r="M281">
        <f t="shared" si="42"/>
        <v>16921.998080000001</v>
      </c>
      <c r="T281">
        <v>6</v>
      </c>
      <c r="U281">
        <v>3</v>
      </c>
      <c r="V281" t="s">
        <v>118</v>
      </c>
    </row>
    <row r="282" spans="1:22" x14ac:dyDescent="0.35">
      <c r="A282" s="10">
        <v>44966.458333333336</v>
      </c>
      <c r="E282" s="29">
        <v>41</v>
      </c>
      <c r="G282">
        <f t="shared" si="40"/>
        <v>9</v>
      </c>
      <c r="I282">
        <f t="shared" si="41"/>
        <v>19.037247839999999</v>
      </c>
      <c r="K282" s="29">
        <v>269</v>
      </c>
      <c r="L282" s="11">
        <v>115</v>
      </c>
      <c r="M282">
        <f t="shared" si="42"/>
        <v>19037.24784</v>
      </c>
      <c r="Q282">
        <v>2.83</v>
      </c>
      <c r="T282">
        <v>6</v>
      </c>
      <c r="U282">
        <v>3</v>
      </c>
      <c r="V282" t="s">
        <v>119</v>
      </c>
    </row>
    <row r="283" spans="1:22" x14ac:dyDescent="0.35">
      <c r="A283" s="10">
        <v>44966.541666666664</v>
      </c>
      <c r="E283" s="29">
        <v>41</v>
      </c>
      <c r="G283">
        <f t="shared" si="40"/>
        <v>9</v>
      </c>
      <c r="I283">
        <f t="shared" si="41"/>
        <v>19.037247839999999</v>
      </c>
      <c r="K283" s="29">
        <v>0</v>
      </c>
      <c r="L283" s="11"/>
      <c r="M283">
        <f t="shared" si="42"/>
        <v>19037.24784</v>
      </c>
      <c r="T283">
        <v>6</v>
      </c>
      <c r="U283">
        <v>3</v>
      </c>
      <c r="V283" t="s">
        <v>120</v>
      </c>
    </row>
    <row r="284" spans="1:22" x14ac:dyDescent="0.35">
      <c r="A284" s="27"/>
      <c r="B284" s="25"/>
      <c r="K284" s="25"/>
      <c r="L284" s="11"/>
    </row>
    <row r="285" spans="1:22" x14ac:dyDescent="0.35">
      <c r="A285" s="10"/>
      <c r="D285" s="29"/>
      <c r="E285" s="29"/>
      <c r="K285" s="29"/>
      <c r="L285" s="11"/>
    </row>
    <row r="286" spans="1:22" x14ac:dyDescent="0.35">
      <c r="A286" s="10"/>
      <c r="E286" s="29"/>
      <c r="K286" s="29"/>
      <c r="L286" s="11"/>
    </row>
    <row r="287" spans="1:22" x14ac:dyDescent="0.35">
      <c r="A287" s="27"/>
      <c r="E287" s="29"/>
      <c r="K287" s="29"/>
      <c r="L287" s="11"/>
    </row>
    <row r="288" spans="1:22" x14ac:dyDescent="0.35">
      <c r="A288" s="27"/>
      <c r="B288" s="25"/>
      <c r="E288" s="25"/>
      <c r="K288" s="25"/>
    </row>
    <row r="289" spans="1:5" x14ac:dyDescent="0.35">
      <c r="A289" s="23"/>
      <c r="E289" s="25"/>
    </row>
    <row r="290" spans="1:5" x14ac:dyDescent="0.35">
      <c r="A290" s="23"/>
      <c r="B290" s="25"/>
      <c r="C290" s="25"/>
    </row>
    <row r="293" spans="1:5" x14ac:dyDescent="0.35">
      <c r="A293" s="10"/>
      <c r="B293" s="29"/>
      <c r="C293" s="29"/>
    </row>
    <row r="297" spans="1:5" x14ac:dyDescent="0.35">
      <c r="A297" s="10"/>
      <c r="B297" s="29"/>
      <c r="C297" s="29"/>
    </row>
    <row r="299" spans="1:5" x14ac:dyDescent="0.35">
      <c r="A299" s="10"/>
      <c r="B299" s="29"/>
      <c r="C299" s="29"/>
    </row>
    <row r="300" spans="1:5" x14ac:dyDescent="0.35">
      <c r="A300" s="27"/>
      <c r="B300" s="25"/>
      <c r="C300" s="25"/>
    </row>
    <row r="301" spans="1:5" x14ac:dyDescent="0.35">
      <c r="A301" s="27"/>
      <c r="B301" s="25"/>
      <c r="C301" s="25"/>
    </row>
    <row r="302" spans="1:5" x14ac:dyDescent="0.35">
      <c r="A302" s="10"/>
      <c r="B302" s="29"/>
      <c r="C302" s="29"/>
    </row>
    <row r="304" spans="1:5" x14ac:dyDescent="0.35">
      <c r="A304" s="10"/>
      <c r="B304" s="29"/>
      <c r="C304" s="29"/>
    </row>
    <row r="305" spans="1:3" x14ac:dyDescent="0.35">
      <c r="A305" s="10"/>
      <c r="B305" s="29"/>
      <c r="C305" s="29"/>
    </row>
    <row r="307" spans="1:3" x14ac:dyDescent="0.35">
      <c r="A307" s="27"/>
      <c r="B307" s="25"/>
      <c r="C307" s="25"/>
    </row>
    <row r="309" spans="1:3" x14ac:dyDescent="0.35">
      <c r="A309" s="27"/>
      <c r="B309" s="25"/>
      <c r="C309" s="25"/>
    </row>
    <row r="311" spans="1:3" x14ac:dyDescent="0.35">
      <c r="A311" s="10"/>
      <c r="B311" s="29"/>
      <c r="C311" s="29"/>
    </row>
  </sheetData>
  <hyperlinks>
    <hyperlink ref="P2" r:id="rId1"/>
    <hyperlink ref="P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García Pérez</dc:creator>
  <cp:lastModifiedBy>Pablo García Pérez</cp:lastModifiedBy>
  <dcterms:created xsi:type="dcterms:W3CDTF">2023-12-11T12:02:46Z</dcterms:created>
  <dcterms:modified xsi:type="dcterms:W3CDTF">2024-05-22T08:43:02Z</dcterms:modified>
</cp:coreProperties>
</file>